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封面" sheetId="2" state="visible" r:id="rId2"/>
    <sheet xmlns:r="http://schemas.openxmlformats.org/officeDocument/2006/relationships" name="初筛" sheetId="3" state="visible" r:id="rId3"/>
    <sheet xmlns:r="http://schemas.openxmlformats.org/officeDocument/2006/relationships" name="财务" sheetId="4" state="visible" r:id="rId4"/>
    <sheet xmlns:r="http://schemas.openxmlformats.org/officeDocument/2006/relationships" name="评分" sheetId="5" state="visible" r:id="rId5"/>
    <sheet xmlns:r="http://schemas.openxmlformats.org/officeDocument/2006/relationships" name="估值" sheetId="6" state="visible" r:id="rId6"/>
    <sheet xmlns:r="http://schemas.openxmlformats.org/officeDocument/2006/relationships" name="情绪" sheetId="7" state="visible" r:id="rId7"/>
    <sheet xmlns:r="http://schemas.openxmlformats.org/officeDocument/2006/relationships" name="风险" sheetId="8" state="visible" r:id="rId8"/>
    <sheet xmlns:r="http://schemas.openxmlformats.org/officeDocument/2006/relationships" name="备忘录" sheetId="9" state="visible" r:id="rId9"/>
    <sheet xmlns:r="http://schemas.openxmlformats.org/officeDocument/2006/relationships"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70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5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4" ht="22.05" customHeight="1" s="42">
      <c r="A4" s="43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1" ht="22.05" customHeight="1" s="42">
      <c r="A11" s="43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8" ht="22.05" customHeight="1" s="42">
      <c r="A18" s="43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4" ht="22.05" customHeight="1" s="42">
      <c r="A24" s="43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5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4" ht="22.05" customHeight="1" s="42">
      <c r="A4" s="43" t="inlineStr">
        <is>
          <t>标的</t>
        </is>
      </c>
    </row>
    <row r="5" ht="22.05" customHeight="1" s="42">
      <c r="A5" s="9" t="inlineStr">
        <is>
          <t>股票代码</t>
        </is>
      </c>
      <c r="B5" s="48" t="inlineStr">
        <is>
          <t>02513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48" t="inlineStr">
        <is>
          <t>智谱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48" t="inlineStr">
        <is>
          <t>港股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3" t="n">
        <v>46301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4" t="n">
        <v>715.5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48" t="inlineStr">
        <is>
          <t>HKD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48" t="inlineStr">
        <is>
          <t>人工智能大模型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48" t="inlineStr">
        <is>
          <t>FY2025，财年截至2025-12-31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5" t="inlineStr">
        <is>
          <t>大模型云服务说得清，但2025年经营现金净流出22.46亿元人民币、净亏损47.18亿元，初筛第3项和第5项为否，排除。10月6日Bedrock上架和高盛ARR转述不改变现金流符号。</t>
        </is>
      </c>
      <c r="C13" s="66" t="n"/>
      <c r="D13" s="66" t="n"/>
      <c r="E13" s="66" t="n"/>
      <c r="F13" s="67" t="n"/>
    </row>
    <row r="14" ht="36" customHeight="1" s="42">
      <c r="B14" s="68" t="n"/>
      <c r="C14" s="69" t="n"/>
      <c r="D14" s="69" t="n"/>
      <c r="E14" s="69" t="n"/>
      <c r="F14" s="70" t="n"/>
    </row>
    <row r="16" ht="22.05" customHeight="1" s="42">
      <c r="A16" s="43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48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48" t="inlineStr">
        <is>
          <t>偏空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48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48" t="inlineStr">
        <is>
          <t>C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48" t="inlineStr">
        <is>
          <t>中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5" t="inlineStr">
        <is>
          <t>把高盛转述的32亿美元ARR或Amazon Bedrock上架写成经营现金流已经转正。</t>
        </is>
      </c>
      <c r="C22" s="47" t="n"/>
      <c r="D22" s="45" t="inlineStr">
        <is>
          <t>会推翻论点的那一条</t>
        </is>
      </c>
      <c r="E22" s="46" t="n"/>
      <c r="F22" s="47" t="n"/>
    </row>
    <row r="24" ht="22.05" customHeight="1" s="42">
      <c r="A24" s="43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1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2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2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3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5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48" t="inlineStr">
        <is>
          <t>是</t>
        </is>
      </c>
      <c r="D6" s="65" t="inlineStr">
        <is>
          <t>向企业和开发者提供大模型云端调用和私有化部署，收费来自调用和项目，成本主要是研发和算力。Yahoo Finance合并利润表：2025年营业收入724.33百万元人民币，即7.24亿元。收盘复盘写GLM-5.3上架Amazon Bedrock，并转述AWS按调用量分成；分成条款没有打开，不把上架写成已经入账的收入。来源：Yahoo Finance利润表，报表截止2025-12-31；2026-10-06收盘复盘。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48" t="inlineStr">
        <is>
          <t>待查</t>
        </is>
      </c>
      <c r="D7" s="65" t="inlineStr">
        <is>
          <t>没有打开港交所股东名册，不写实控人姓名，也不把未打开的配售金额写成事实。公司有可核对的产品收入，不是空壳；但是否靠连续股权融资维持，这次不判「否」。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48" t="inlineStr">
        <is>
          <t>否</t>
        </is>
      </c>
      <c r="D8" s="65" t="inlineStr">
        <is>
          <t>否。Yahoo Finance现金流量表，原始币种与前瞻眼页面一致为人民币：2022至2025年经营活动现金流量净额分别为-68.25、-648.02、-2244.92、-2246.12百万元，即约-0.68亿、-6.48亿、-22.45亿、-22.46亿元。四年都为负。富途牛牛现金流量表页面显示2025年经营活动现金流量净额-22.46亿，符号和数量级一致。未打开港交所年报PDF，页码待查。卖方模型里另一套2025年现金流数字没有采用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48" t="inlineStr">
        <is>
          <t>待查</t>
        </is>
      </c>
      <c r="D9" s="65" t="inlineStr">
        <is>
          <t>有息负债、短债和利息费用没有从年报附注逐项读出，不把Yahoo的债务汇总字段当成附注余额。经营已经亏损，利息是否吃掉利润不是先要确认的那一条。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48" t="inlineStr">
        <is>
          <t>否</t>
        </is>
      </c>
      <c r="D10" s="65" t="inlineStr">
        <is>
          <t>否。港股报表没有A股扣非。Yahoo Finance 2025年净利润-4718.17百万元人民币（-47.18亿元），营业利润-3780.01百万元（-37.80亿元），Normalized Income -3784.24百万元。主业亏损，不是靠一笔正向公允价值撑起来的利润。来源：Yahoo Finance 2025年利润表。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4" ht="22.05" customHeight="1" s="42">
      <c r="A14" s="43" t="inlineStr">
        <is>
          <t>若通过，用一句话写下商业模式（给备忘录用）</t>
        </is>
      </c>
    </row>
    <row r="15" ht="22.05" customHeight="1" s="42">
      <c r="A15" s="65" t="inlineStr">
        <is>
          <t>卖大模型云服务和私有化部署。2025年收入7.24亿元人民币，经营现金净流出22.46亿元。</t>
        </is>
      </c>
      <c r="B15" s="66" t="n"/>
      <c r="C15" s="66" t="n"/>
      <c r="D15" s="66" t="n"/>
      <c r="E15" s="66" t="n"/>
      <c r="F15" s="67" t="n"/>
    </row>
    <row r="16" ht="22.05" customHeight="1" s="42">
      <c r="A16" s="74" t="n"/>
      <c r="F16" s="75" t="n"/>
    </row>
    <row r="17" ht="22.05" customHeight="1" s="42">
      <c r="A17" s="68" t="n"/>
      <c r="B17" s="69" t="n"/>
      <c r="C17" s="69" t="n"/>
      <c r="D17" s="69" t="n"/>
      <c r="E17" s="69" t="n"/>
      <c r="F17" s="70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5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64" t="n"/>
      <c r="C7" s="64" t="n"/>
      <c r="D7" s="64" t="n"/>
      <c r="E7" s="64" t="n"/>
      <c r="F7" s="64" t="n"/>
      <c r="G7" s="76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64" t="n"/>
      <c r="C8" s="64" t="n"/>
      <c r="D8" s="64" t="n"/>
      <c r="E8" s="64" t="n"/>
      <c r="F8" s="64" t="n"/>
      <c r="G8" s="76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77" t="n"/>
      <c r="C9" s="77" t="n"/>
      <c r="D9" s="77" t="n"/>
      <c r="E9" s="77" t="n"/>
      <c r="F9" s="77" t="n"/>
      <c r="G9" s="76">
        <f>IF(OR(E9="",F9=""),"",F9-E9)</f>
        <v/>
      </c>
      <c r="H9" s="76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64" t="n"/>
      <c r="C10" s="64" t="n"/>
      <c r="D10" s="64" t="n"/>
      <c r="E10" s="64" t="n"/>
      <c r="F10" s="64" t="n"/>
      <c r="G10" s="76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64" t="n"/>
      <c r="C11" s="64" t="n"/>
      <c r="D11" s="64" t="n"/>
      <c r="E11" s="64" t="n"/>
      <c r="F11" s="64" t="n"/>
      <c r="G11" s="76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64" t="n"/>
      <c r="C12" s="64" t="n"/>
      <c r="D12" s="64" t="n"/>
      <c r="E12" s="64" t="n"/>
      <c r="F12" s="64" t="n"/>
      <c r="G12" s="76">
        <f>IF(OR(E12="",E12=0,F12=""),"",(F12-E12)/E12)</f>
        <v/>
      </c>
      <c r="H12" s="78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64" t="n"/>
      <c r="C13" s="64" t="n"/>
      <c r="D13" s="64" t="n"/>
      <c r="E13" s="64" t="n"/>
      <c r="F13" s="64" t="n"/>
      <c r="G13" s="76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64" t="n"/>
      <c r="C14" s="64" t="n"/>
      <c r="D14" s="64" t="n"/>
      <c r="E14" s="64" t="n"/>
      <c r="F14" s="64" t="n"/>
      <c r="G14" s="76">
        <f>IF(OR(E14="",E14=0,F14=""),"",(F14-E14)/E14)</f>
        <v/>
      </c>
      <c r="H14" s="79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77" t="n"/>
      <c r="C15" s="77" t="n"/>
      <c r="D15" s="77" t="n"/>
      <c r="E15" s="77" t="n"/>
      <c r="F15" s="77" t="n"/>
      <c r="G15" s="76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77" t="n"/>
      <c r="C16" s="77" t="n"/>
      <c r="D16" s="77" t="n"/>
      <c r="E16" s="77" t="n"/>
      <c r="F16" s="77" t="n"/>
      <c r="G16" s="76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64" t="n"/>
      <c r="C17" s="64" t="n"/>
      <c r="D17" s="64" t="n"/>
      <c r="E17" s="64" t="n"/>
      <c r="F17" s="64" t="n"/>
      <c r="G17" s="76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64" t="n"/>
      <c r="C18" s="64" t="n"/>
      <c r="D18" s="64" t="n"/>
      <c r="E18" s="64" t="n"/>
      <c r="F18" s="64" t="n"/>
      <c r="G18" s="76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64" t="n"/>
      <c r="C19" s="64" t="n"/>
      <c r="D19" s="64" t="n"/>
      <c r="E19" s="64" t="n"/>
      <c r="F19" s="64" t="n"/>
      <c r="G19" s="76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64" t="n"/>
      <c r="C20" s="64" t="n"/>
      <c r="D20" s="64" t="n"/>
      <c r="E20" s="64" t="n"/>
      <c r="F20" s="64" t="n"/>
      <c r="G20" s="76">
        <f>IF(OR(E20="",E20=0,F20=""),"",(F20-E20)/E20)</f>
        <v/>
      </c>
      <c r="H20" s="79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64" t="n"/>
      <c r="C21" s="64" t="n"/>
      <c r="D21" s="64" t="n"/>
      <c r="E21" s="64" t="n"/>
      <c r="F21" s="64" t="n"/>
      <c r="G21" s="76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64" t="n"/>
      <c r="C22" s="64" t="n"/>
      <c r="D22" s="64" t="n"/>
      <c r="E22" s="64" t="n"/>
      <c r="F22" s="64" t="n"/>
      <c r="G22" s="76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64" t="n"/>
      <c r="C23" s="64" t="n"/>
      <c r="D23" s="64" t="n"/>
      <c r="E23" s="64" t="n"/>
      <c r="F23" s="64" t="n"/>
      <c r="G23" s="76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64" t="n"/>
      <c r="C24" s="64" t="n"/>
      <c r="D24" s="64" t="n"/>
      <c r="E24" s="64" t="n"/>
      <c r="F24" s="64" t="n"/>
      <c r="G24" s="76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7" ht="22.05" customHeight="1" s="42">
      <c r="A27" s="43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5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5" ht="22.05" customHeight="1" s="42">
      <c r="A5" s="43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64" t="n"/>
      <c r="C7" s="64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64" t="n"/>
      <c r="C8" s="64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64" t="n"/>
      <c r="C9" s="64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64" t="n"/>
      <c r="C10" s="64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64" t="n"/>
      <c r="C11" s="64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64" t="n"/>
      <c r="C12" s="64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64" t="n"/>
      <c r="C13" s="64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64" t="n"/>
      <c r="C14" s="64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64" t="n"/>
      <c r="C15" s="64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64" t="n"/>
      <c r="C16" s="64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64" t="n"/>
      <c r="C17" s="64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64" t="n"/>
      <c r="C18" s="64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64" t="n"/>
      <c r="C19" s="64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64" t="n"/>
      <c r="C20" s="64" t="n"/>
      <c r="D20" s="45" t="inlineStr">
        <is>
          <t>留空则用右边自动值</t>
        </is>
      </c>
      <c r="E20" s="79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64" t="n"/>
      <c r="C21" s="64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64" t="n"/>
      <c r="C22" s="64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64" t="n"/>
      <c r="C23" s="64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64" t="n"/>
      <c r="C24" s="64" t="n"/>
      <c r="D24" s="45" t="inlineStr">
        <is>
          <t>M 分数用；没有可留空</t>
        </is>
      </c>
      <c r="E24" s="46" t="n"/>
      <c r="F24" s="47" t="n"/>
    </row>
    <row r="26" ht="22.05" customHeight="1" s="42">
      <c r="A26" s="43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9" ht="22.05" customHeight="1" s="42">
      <c r="A29" s="43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2" ht="22.05" customHeight="1" s="42">
      <c r="A42" s="43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1" ht="22.05" customHeight="1" s="42">
      <c r="A51" s="43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0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0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0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0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0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0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0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0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4" ht="22.05" customHeight="1" s="42">
      <c r="A64" s="43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5" ht="22.05" customHeight="1" s="42">
      <c r="A5" s="43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4" ht="22.05" customHeight="1" s="42">
      <c r="A14" s="43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3" ht="22.05" customHeight="1" s="42">
      <c r="A23" s="43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77" t="n">
        <v>0.25</v>
      </c>
      <c r="C25" s="64" t="n"/>
      <c r="D25" s="81" t="n"/>
      <c r="E25" s="79">
        <f>IF(OR(C25="",D25=""),"",C25*D25)</f>
        <v/>
      </c>
      <c r="F25" s="76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77" t="n">
        <v>0.5</v>
      </c>
      <c r="C26" s="64" t="n"/>
      <c r="D26" s="81" t="n"/>
      <c r="E26" s="79">
        <f>IF(OR(C26="",D26=""),"",C26*D26)</f>
        <v/>
      </c>
      <c r="F26" s="76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77" t="n">
        <v>0.25</v>
      </c>
      <c r="C27" s="64" t="n"/>
      <c r="D27" s="81" t="n"/>
      <c r="E27" s="79">
        <f>IF(OR(C27="",D27=""),"",C27*D27)</f>
        <v/>
      </c>
      <c r="F27" s="76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1">
        <f>E26</f>
        <v/>
      </c>
      <c r="C28" s="71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79">
        <f>IF(ABS(SUM(B25:B27)-1)&gt;0.02,"请检查概率合计=100%",IF(COUNT(E25:E27)&lt;3,"",SUMPRODUCT(B25:B27,E25:E27)))</f>
        <v/>
      </c>
      <c r="C29" s="71">
        <f>B29</f>
        <v/>
      </c>
    </row>
    <row r="30" ht="15" customHeight="1" s="42">
      <c r="A30" s="9" t="inlineStr">
        <is>
          <t>期望价 vs 现价</t>
        </is>
      </c>
      <c r="B30" s="76">
        <f>IF(OR(B29="",封面!B9="",封面!B9=0),"",B29/封面!B9-1)</f>
        <v/>
      </c>
      <c r="C30" s="72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3" ht="22.05" customHeight="1" s="42">
      <c r="A33" s="43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5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5" ht="22.05" customHeight="1" s="42">
      <c r="A5" s="43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2" ht="22.05" customHeight="1" s="42">
      <c r="A12" s="43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6" t="n"/>
      <c r="D20" s="66" t="n"/>
      <c r="E20" s="66" t="n"/>
      <c r="F20" s="67" t="n"/>
    </row>
    <row r="21" ht="22.05" customHeight="1" s="42">
      <c r="B21" s="68" t="n"/>
      <c r="C21" s="69" t="n"/>
      <c r="D21" s="69" t="n"/>
      <c r="E21" s="69" t="n"/>
      <c r="F21" s="70" t="n"/>
    </row>
    <row r="22" ht="22.05" customHeight="1" s="42">
      <c r="A22" s="9" t="inlineStr">
        <is>
          <t>我额外押的</t>
        </is>
      </c>
      <c r="B22" s="41" t="n"/>
      <c r="C22" s="66" t="n"/>
      <c r="D22" s="66" t="n"/>
      <c r="E22" s="66" t="n"/>
      <c r="F22" s="67" t="n"/>
    </row>
    <row r="23" ht="22.05" customHeight="1" s="42">
      <c r="B23" s="68" t="n"/>
      <c r="C23" s="69" t="n"/>
      <c r="D23" s="69" t="n"/>
      <c r="E23" s="69" t="n"/>
      <c r="F23" s="70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5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5" ht="22.05" customHeight="1" s="42">
      <c r="A5" s="43" t="inlineStr">
        <is>
          <t>A. 仓位计算器</t>
        </is>
      </c>
    </row>
    <row r="6" ht="15" customHeight="1" s="42">
      <c r="A6" s="9" t="inlineStr">
        <is>
          <t>组合权益</t>
        </is>
      </c>
      <c r="B6" s="82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77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2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77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2" ht="15" customHeight="1" s="42">
      <c r="A12" s="9" t="inlineStr">
        <is>
          <t>风险预算金额</t>
        </is>
      </c>
      <c r="B12" s="83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3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3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3">
        <f>IF(B13="",IF(B14="","",B14),IF(B14="",B13,MIN(B13,B14)))</f>
        <v/>
      </c>
      <c r="C15" s="73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6">
        <f>IF(OR(B15="",B6="",B6=0),"",B15/B6)</f>
        <v/>
      </c>
      <c r="C16" s="72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3">
        <f>IF(OR(B15="",封面!B9="",封面!B9=0),"",B15/封面!B9)</f>
        <v/>
      </c>
    </row>
    <row r="19" ht="22.05" customHeight="1" s="42">
      <c r="A19" s="43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5" ht="22.05" customHeight="1" s="42">
      <c r="A25" s="43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3" ht="22.05" customHeight="1" s="42">
      <c r="A33" s="43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5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7" ht="22.05" customHeight="1" s="42">
      <c r="A7" s="43" t="inlineStr">
        <is>
          <t>0. 执行摘要</t>
        </is>
      </c>
    </row>
    <row r="8" ht="32" customHeight="1" s="42">
      <c r="A8" s="65" t="inlineStr">
        <is>
          <t>初筛结论：排除。停止建模，不把缺项公式算出来的0当作F分数，不给Bear、Base、Bull。云端无 Excel，汇总按模板公式计算。闸门公式：C6到C10里只要有「否」就是排除。本次第3项和第5项为否，第2项和第4项为待查，第1项为是。通过项数按公式只有1。排除理由：最近完整年度经营现金流为负，而且2022至2025年连续为负，最新一年约-22.46亿元人民币；净利润约-47.18亿元，营业利润约-37.80亿元，主业站不住。模板要求经营现金流为正，并且扣非或主业利润站得住。材料没有缺。2026-10-06要闻和收盘复盘都在main。要闻没有点名智谱。同日要闻里的人工智能段落是OpenAI的textGrain、AMD出货口径从数千万台改成超过50万台，以及Cerebras被转述为密切伙伴，都不是智谱的订单或收入。复盘把智谱单列：10月6日收盘715.500港元，前收665.000，涨7.59%，成交额25.05亿港元，是当天高成交上涨里成交最大的一笔，最高727.000；近20日仍跌29.7%。财联社写GLM-5.3上架Amazon Bedrock。智通收评转述高盛把2026年底ARR由27亿美元调到32亿美元，高于公司自己的30亿美元目标。分成条款和研报原文没有打开，不把32亿美元写成已经入账的收入。25.05亿港元成交发生在南向关闭的本地市场里。价格用10月6日收盘715.5港元，与复盘和雅虎2513.HK日线收盘一致。近1到3个月方向记为偏空，因为20日价格仍下跌。动作是排除，不是因为当天上涨而追。</t>
        </is>
      </c>
      <c r="B8" s="66" t="n"/>
      <c r="C8" s="66" t="n"/>
      <c r="D8" s="66" t="n"/>
      <c r="E8" s="66" t="n"/>
      <c r="F8" s="67" t="n"/>
    </row>
    <row r="9" ht="32" customHeight="1" s="42">
      <c r="A9" s="68" t="n"/>
      <c r="B9" s="69" t="n"/>
      <c r="C9" s="69" t="n"/>
      <c r="D9" s="69" t="n"/>
      <c r="E9" s="69" t="n"/>
      <c r="F9" s="70" t="n"/>
    </row>
    <row r="10" ht="22.05" customHeight="1" s="42">
      <c r="A10" s="43" t="inlineStr">
        <is>
          <t>1. 公司与商业模式</t>
        </is>
      </c>
    </row>
    <row r="11" ht="32" customHeight="1" s="42">
      <c r="A11" s="41" t="inlineStr">
        <is>
          <t>排除，停止建模，本节不填。</t>
        </is>
      </c>
      <c r="B11" s="66" t="n"/>
      <c r="C11" s="66" t="n"/>
      <c r="D11" s="66" t="n"/>
      <c r="E11" s="66" t="n"/>
      <c r="F11" s="67" t="n"/>
    </row>
    <row r="12" ht="32" customHeight="1" s="42">
      <c r="A12" s="68" t="n"/>
      <c r="B12" s="69" t="n"/>
      <c r="C12" s="69" t="n"/>
      <c r="D12" s="69" t="n"/>
      <c r="E12" s="69" t="n"/>
      <c r="F12" s="70" t="n"/>
    </row>
    <row r="13" ht="22.05" customHeight="1" s="42">
      <c r="A13" s="43" t="inlineStr">
        <is>
          <t>2. 行业与竞争</t>
        </is>
      </c>
    </row>
    <row r="14" ht="32" customHeight="1" s="42">
      <c r="A14" s="41" t="inlineStr">
        <is>
          <t>排除，停止建模，本节不填。</t>
        </is>
      </c>
      <c r="B14" s="66" t="n"/>
      <c r="C14" s="66" t="n"/>
      <c r="D14" s="66" t="n"/>
      <c r="E14" s="66" t="n"/>
      <c r="F14" s="67" t="n"/>
    </row>
    <row r="15" ht="32" customHeight="1" s="42">
      <c r="A15" s="68" t="n"/>
      <c r="B15" s="69" t="n"/>
      <c r="C15" s="69" t="n"/>
      <c r="D15" s="69" t="n"/>
      <c r="E15" s="69" t="n"/>
      <c r="F15" s="70" t="n"/>
    </row>
    <row r="16" ht="22.05" customHeight="1" s="42">
      <c r="A16" s="43" t="inlineStr">
        <is>
          <t>3. 财务质量</t>
        </is>
      </c>
    </row>
    <row r="17" ht="32" customHeight="1" s="42">
      <c r="A17" s="41" t="inlineStr">
        <is>
          <t>排除，停止建模，本节不填。</t>
        </is>
      </c>
      <c r="B17" s="66" t="n"/>
      <c r="C17" s="66" t="n"/>
      <c r="D17" s="66" t="n"/>
      <c r="E17" s="66" t="n"/>
      <c r="F17" s="67" t="n"/>
    </row>
    <row r="18" ht="32" customHeight="1" s="42">
      <c r="A18" s="68" t="n"/>
      <c r="B18" s="69" t="n"/>
      <c r="C18" s="69" t="n"/>
      <c r="D18" s="69" t="n"/>
      <c r="E18" s="69" t="n"/>
      <c r="F18" s="70" t="n"/>
    </row>
    <row r="19" ht="22.05" customHeight="1" s="42">
      <c r="A19" s="43" t="inlineStr">
        <is>
          <t>4. 估值</t>
        </is>
      </c>
    </row>
    <row r="20" ht="32" customHeight="1" s="42">
      <c r="A20" s="41" t="inlineStr">
        <is>
          <t>排除，停止建模，本节不填。</t>
        </is>
      </c>
      <c r="B20" s="66" t="n"/>
      <c r="C20" s="66" t="n"/>
      <c r="D20" s="66" t="n"/>
      <c r="E20" s="66" t="n"/>
      <c r="F20" s="67" t="n"/>
    </row>
    <row r="21" ht="32" customHeight="1" s="42">
      <c r="A21" s="68" t="n"/>
      <c r="B21" s="69" t="n"/>
      <c r="C21" s="69" t="n"/>
      <c r="D21" s="69" t="n"/>
      <c r="E21" s="69" t="n"/>
      <c r="F21" s="70" t="n"/>
    </row>
    <row r="22" ht="22.05" customHeight="1" s="42">
      <c r="A22" s="43" t="inlineStr">
        <is>
          <t>5. 情绪与预期差</t>
        </is>
      </c>
    </row>
    <row r="23" ht="32" customHeight="1" s="42">
      <c r="A23" s="41" t="inlineStr">
        <is>
          <t>排除，停止建模，本节不填。</t>
        </is>
      </c>
      <c r="B23" s="66" t="n"/>
      <c r="C23" s="66" t="n"/>
      <c r="D23" s="66" t="n"/>
      <c r="E23" s="66" t="n"/>
      <c r="F23" s="67" t="n"/>
    </row>
    <row r="24" ht="32" customHeight="1" s="42">
      <c r="A24" s="68" t="n"/>
      <c r="B24" s="69" t="n"/>
      <c r="C24" s="69" t="n"/>
      <c r="D24" s="69" t="n"/>
      <c r="E24" s="69" t="n"/>
      <c r="F24" s="70" t="n"/>
    </row>
    <row r="25" ht="22.05" customHeight="1" s="42">
      <c r="A25" s="43" t="inlineStr">
        <is>
          <t>6. 催化剂（3–12 个月）</t>
        </is>
      </c>
    </row>
    <row r="26" ht="32" customHeight="1" s="42">
      <c r="A26" s="41" t="inlineStr">
        <is>
          <t>排除，停止建模，本节不填。</t>
        </is>
      </c>
      <c r="B26" s="66" t="n"/>
      <c r="C26" s="66" t="n"/>
      <c r="D26" s="66" t="n"/>
      <c r="E26" s="66" t="n"/>
      <c r="F26" s="67" t="n"/>
    </row>
    <row r="27" ht="32" customHeight="1" s="42">
      <c r="A27" s="68" t="n"/>
      <c r="B27" s="69" t="n"/>
      <c r="C27" s="69" t="n"/>
      <c r="D27" s="69" t="n"/>
      <c r="E27" s="69" t="n"/>
      <c r="F27" s="70" t="n"/>
    </row>
    <row r="28" ht="22.05" customHeight="1" s="42">
      <c r="A28" s="43" t="inlineStr">
        <is>
          <t>7. 风险与 Pre-mortem</t>
        </is>
      </c>
    </row>
    <row r="29" ht="32" customHeight="1" s="42">
      <c r="A29" s="41" t="inlineStr">
        <is>
          <t>排除，停止建模，本节不填。</t>
        </is>
      </c>
      <c r="B29" s="66" t="n"/>
      <c r="C29" s="66" t="n"/>
      <c r="D29" s="66" t="n"/>
      <c r="E29" s="66" t="n"/>
      <c r="F29" s="67" t="n"/>
    </row>
    <row r="30" ht="32" customHeight="1" s="42">
      <c r="A30" s="68" t="n"/>
      <c r="B30" s="69" t="n"/>
      <c r="C30" s="69" t="n"/>
      <c r="D30" s="69" t="n"/>
      <c r="E30" s="69" t="n"/>
      <c r="F30" s="70" t="n"/>
    </row>
    <row r="31" ht="22.05" customHeight="1" s="42">
      <c r="A31" s="43" t="inlineStr">
        <is>
          <t>8. 动作与观察清单</t>
        </is>
      </c>
    </row>
    <row r="32" ht="32" customHeight="1" s="42">
      <c r="A32" s="41" t="inlineStr">
        <is>
          <t>排除，停止建模，本节不填。</t>
        </is>
      </c>
      <c r="B32" s="66" t="n"/>
      <c r="C32" s="66" t="n"/>
      <c r="D32" s="66" t="n"/>
      <c r="E32" s="66" t="n"/>
      <c r="F32" s="67" t="n"/>
    </row>
    <row r="33" ht="32" customHeight="1" s="42">
      <c r="A33" s="68" t="n"/>
      <c r="B33" s="69" t="n"/>
      <c r="C33" s="69" t="n"/>
      <c r="D33" s="69" t="n"/>
      <c r="E33" s="69" t="n"/>
      <c r="F33" s="70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5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4" ht="22.05" customHeight="1" s="42">
      <c r="A4" s="43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2" ht="22.05" customHeight="1" s="42">
      <c r="A12" s="43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8" ht="22.05" customHeight="1" s="42">
      <c r="A18" s="43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Stock Analysis Toolkit</dc:creator>
  <dc:title xmlns:dc="http://purl.org/dc/elements/1.1/">个股分析工具箱</dc:title>
  <dcterms:created xmlns:dcterms="http://purl.org/dc/terms/" xmlns:xsi="http://www.w3.org/2001/XMLSchema-instance" xsi:type="dcterms:W3CDTF">2026-08-26T04:21:23Z</dcterms:created>
  <dcterms:modified xmlns:dcterms="http://purl.org/dc/terms/" xmlns:xsi="http://www.w3.org/2001/XMLSchema-instance" xsi:type="dcterms:W3CDTF">2026-10-06T19:10:42Z</dcterms:modified>
  <cp:lastModifiedBy>张哥</cp:lastModifiedBy>
</cp:coreProperties>
</file>