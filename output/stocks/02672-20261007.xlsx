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 h:mm:ss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7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48" t="inlineStr">
        <is>
          <t>02672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48" t="inlineStr">
        <is>
          <t>白鸽在线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48" t="inlineStr">
        <is>
          <t>港股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3" t="n">
        <v>46302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4" t="n">
        <v>74.7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48" t="inlineStr">
        <is>
          <t>HKD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48" t="inlineStr">
        <is>
          <t>数字保险中介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48" t="inlineStr">
        <is>
          <t>FY2025，财年截至2025-12-31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41" t="inlineStr">
        <is>
          <t>保险交易佣金和数字化方案说得清，但2025年年内亏损4666.9万元人民币、经调整仍亏932.2万元，经营现金与亏损方向不一致，初筛排除。</t>
        </is>
      </c>
      <c r="C13" s="65" t="n"/>
      <c r="D13" s="65" t="n"/>
      <c r="E13" s="65" t="n"/>
      <c r="F13" s="66" t="n"/>
    </row>
    <row r="14" ht="36" customHeight="1" s="42">
      <c r="B14" s="67" t="n"/>
      <c r="C14" s="68" t="n"/>
      <c r="D14" s="68" t="n"/>
      <c r="E14" s="68" t="n"/>
      <c r="F14" s="69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48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48" t="inlineStr">
        <is>
          <t>偏空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48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48" t="inlineStr">
        <is>
          <t>B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48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48" t="inlineStr">
        <is>
          <t>把10月7日涨15.28%或未打开的内资股转H股通告写成2025年主业已经盈利。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0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1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1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2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48" t="inlineStr">
        <is>
          <t>是</t>
        </is>
      </c>
      <c r="D6" s="41" t="inlineStr">
        <is>
          <t>向保险公司和场景合作方收保险交易服务佣金、精准营销及数字化方案费、少量TPA费，成本主要是转介和服务费。港交所2026年6月18日招股章程概要：2025年收入1,227,123千元人民币，其中保险交易服务821,216、精准营销及数字化解决方案398,292、TPA服务7,615；毛利102,798。2026-10-07要闻没有点名这家公司。收盘复盘写10月7日收盘74.700港元，不是新的业绩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48" t="inlineStr">
        <is>
          <t>是</t>
        </is>
      </c>
      <c r="D7" s="41" t="inlineStr">
        <is>
          <t>是经营公司的一组控股股东，不是空壳。招股章程写涂先生、曾先生、苏伟达先生、黄嘉恩先生、厦门众嘉秀、福建合力合美及白鸽同创在上市前合计约55.58%，并构成一组控股股东；假设超额配股权未行使，上市后约49.80%。2023年11月9日有一致行动协议。收盘复盘转述的1.7亿股内资股转H股通告没有打开，不把媒体转述写成已经发生的资金占用，因此不判否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48" t="inlineStr">
        <is>
          <t>否</t>
        </is>
      </c>
      <c r="D8" s="41" t="inlineStr">
        <is>
          <t>否。最近完整年度经营现金流为正，但与净利润方向不一致。招股章程综合现金流量表概要，人民币千元：2023至2025年经营活动所得现金净额6,038、(7,028)、20,139。同期年内亏损(17,180)、(27,712)、(46,669)。2025年现金净流入，利润是亏损。2024年经营现金本身为负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48" t="inlineStr">
        <is>
          <t>是</t>
        </is>
      </c>
      <c r="D9" s="41" t="inlineStr">
        <is>
          <t>是。招股章程财务成本：2025年11,523千元，其中认沽股份负债利息10,979、租赁395、借款利息149。银行借款利息只有14.9万元。招股书写认沽负债在上市时转入权益。2025年末现金及现金等价物94,031千元。流动资产227,184、流动负债277,246、流动负债净额50,062、负债净额47,830，这是上市前年末口径。毛利102,798千元，财务成本没有吃掉毛利。短债滚续不是排除原因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48" t="inlineStr">
        <is>
          <t>否</t>
        </is>
      </c>
      <c r="D10" s="41" t="inlineStr">
        <is>
          <t>否。港股没有A股扣非科目。招股章程把经调整净亏损定义成年内亏损加回上市开支、认沽股份负债利息和股份支付，并处理修订认沽负债收益。2023至2025年经调整净亏损为(13,460)、(6,995)、(9,322)千元。2025年加回之后仍然亏损，主业利润站不住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41" t="inlineStr">
        <is>
          <t>向保险公司和场景方收佣金和数字化方案费。2025年收入12.271亿元人民币，年内亏损4666.9万元，经调整仍亏932.2万元。</t>
        </is>
      </c>
      <c r="B15" s="65" t="n"/>
      <c r="C15" s="65" t="n"/>
      <c r="D15" s="65" t="n"/>
      <c r="E15" s="65" t="n"/>
      <c r="F15" s="66" t="n"/>
    </row>
    <row r="16" ht="22.05" customHeight="1" s="42">
      <c r="A16" s="73" t="n"/>
      <c r="F16" s="74" t="n"/>
    </row>
    <row r="17" ht="22.05" customHeight="1" s="42">
      <c r="A17" s="67" t="n"/>
      <c r="B17" s="68" t="n"/>
      <c r="C17" s="68" t="n"/>
      <c r="D17" s="68" t="n"/>
      <c r="E17" s="68" t="n"/>
      <c r="F17" s="69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64" t="n"/>
      <c r="C7" s="64" t="n"/>
      <c r="D7" s="64" t="n"/>
      <c r="E7" s="64" t="n"/>
      <c r="F7" s="64" t="n"/>
      <c r="G7" s="75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64" t="n"/>
      <c r="C8" s="64" t="n"/>
      <c r="D8" s="64" t="n"/>
      <c r="E8" s="64" t="n"/>
      <c r="F8" s="64" t="n"/>
      <c r="G8" s="75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76" t="n"/>
      <c r="C9" s="76" t="n"/>
      <c r="D9" s="76" t="n"/>
      <c r="E9" s="76" t="n"/>
      <c r="F9" s="76" t="n"/>
      <c r="G9" s="75">
        <f>IF(OR(E9="",F9=""),"",F9-E9)</f>
        <v/>
      </c>
      <c r="H9" s="75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64" t="n"/>
      <c r="C10" s="64" t="n"/>
      <c r="D10" s="64" t="n"/>
      <c r="E10" s="64" t="n"/>
      <c r="F10" s="64" t="n"/>
      <c r="G10" s="75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64" t="n"/>
      <c r="C11" s="64" t="n"/>
      <c r="D11" s="64" t="n"/>
      <c r="E11" s="64" t="n"/>
      <c r="F11" s="64" t="n"/>
      <c r="G11" s="75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64" t="n"/>
      <c r="C12" s="64" t="n"/>
      <c r="D12" s="64" t="n"/>
      <c r="E12" s="64" t="n"/>
      <c r="F12" s="64" t="n"/>
      <c r="G12" s="75">
        <f>IF(OR(E12="",E12=0,F12=""),"",(F12-E12)/E12)</f>
        <v/>
      </c>
      <c r="H12" s="77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64" t="n"/>
      <c r="C13" s="64" t="n"/>
      <c r="D13" s="64" t="n"/>
      <c r="E13" s="64" t="n"/>
      <c r="F13" s="64" t="n"/>
      <c r="G13" s="75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64" t="n"/>
      <c r="C14" s="64" t="n"/>
      <c r="D14" s="64" t="n"/>
      <c r="E14" s="64" t="n"/>
      <c r="F14" s="64" t="n"/>
      <c r="G14" s="75">
        <f>IF(OR(E14="",E14=0,F14=""),"",(F14-E14)/E14)</f>
        <v/>
      </c>
      <c r="H14" s="78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6" t="n"/>
      <c r="C15" s="76" t="n"/>
      <c r="D15" s="76" t="n"/>
      <c r="E15" s="76" t="n"/>
      <c r="F15" s="76" t="n"/>
      <c r="G15" s="75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76" t="n"/>
      <c r="C16" s="76" t="n"/>
      <c r="D16" s="76" t="n"/>
      <c r="E16" s="76" t="n"/>
      <c r="F16" s="76" t="n"/>
      <c r="G16" s="75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64" t="n"/>
      <c r="C17" s="64" t="n"/>
      <c r="D17" s="64" t="n"/>
      <c r="E17" s="64" t="n"/>
      <c r="F17" s="64" t="n"/>
      <c r="G17" s="75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64" t="n"/>
      <c r="C18" s="64" t="n"/>
      <c r="D18" s="64" t="n"/>
      <c r="E18" s="64" t="n"/>
      <c r="F18" s="64" t="n"/>
      <c r="G18" s="75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64" t="n"/>
      <c r="C19" s="64" t="n"/>
      <c r="D19" s="64" t="n"/>
      <c r="E19" s="64" t="n"/>
      <c r="F19" s="64" t="n"/>
      <c r="G19" s="75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64" t="n"/>
      <c r="C20" s="64" t="n"/>
      <c r="D20" s="64" t="n"/>
      <c r="E20" s="64" t="n"/>
      <c r="F20" s="64" t="n"/>
      <c r="G20" s="75">
        <f>IF(OR(E20="",E20=0,F20=""),"",(F20-E20)/E20)</f>
        <v/>
      </c>
      <c r="H20" s="78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64" t="n"/>
      <c r="C21" s="64" t="n"/>
      <c r="D21" s="64" t="n"/>
      <c r="E21" s="64" t="n"/>
      <c r="F21" s="64" t="n"/>
      <c r="G21" s="75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64" t="n"/>
      <c r="C22" s="64" t="n"/>
      <c r="D22" s="64" t="n"/>
      <c r="E22" s="64" t="n"/>
      <c r="F22" s="64" t="n"/>
      <c r="G22" s="75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64" t="n"/>
      <c r="C23" s="64" t="n"/>
      <c r="D23" s="64" t="n"/>
      <c r="E23" s="64" t="n"/>
      <c r="F23" s="64" t="n"/>
      <c r="G23" s="75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64" t="n"/>
      <c r="C24" s="64" t="n"/>
      <c r="D24" s="64" t="n"/>
      <c r="E24" s="64" t="n"/>
      <c r="F24" s="64" t="n"/>
      <c r="G24" s="75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4" t="n"/>
      <c r="C7" s="64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64" t="n"/>
      <c r="C8" s="64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4" t="n"/>
      <c r="C9" s="64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4" t="n"/>
      <c r="C10" s="64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4" t="n"/>
      <c r="C11" s="64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4" t="n"/>
      <c r="C12" s="64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4" t="n"/>
      <c r="C13" s="64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64" t="n"/>
      <c r="C14" s="64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4" t="n"/>
      <c r="C15" s="64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4" t="n"/>
      <c r="C16" s="64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4" t="n"/>
      <c r="C17" s="64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4" t="n"/>
      <c r="C18" s="64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64" t="n"/>
      <c r="C19" s="64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64" t="n"/>
      <c r="C20" s="64" t="n"/>
      <c r="D20" s="45" t="inlineStr">
        <is>
          <t>留空则用右边自动值</t>
        </is>
      </c>
      <c r="E20" s="78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4" t="n"/>
      <c r="C21" s="64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4" t="n"/>
      <c r="C22" s="64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64" t="n"/>
      <c r="C23" s="64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4" t="n"/>
      <c r="C24" s="64" t="n"/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79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79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79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79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79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79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79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79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6" t="n">
        <v>0.25</v>
      </c>
      <c r="C25" s="64" t="n"/>
      <c r="D25" s="80" t="n"/>
      <c r="E25" s="78">
        <f>IF(OR(C25="",D25=""),"",C25*D25)</f>
        <v/>
      </c>
      <c r="F25" s="75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6" t="n">
        <v>0.5</v>
      </c>
      <c r="C26" s="64" t="n"/>
      <c r="D26" s="80" t="n"/>
      <c r="E26" s="78">
        <f>IF(OR(C26="",D26=""),"",C26*D26)</f>
        <v/>
      </c>
      <c r="F26" s="75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6" t="n">
        <v>0.25</v>
      </c>
      <c r="C27" s="64" t="n"/>
      <c r="D27" s="80" t="n"/>
      <c r="E27" s="78">
        <f>IF(OR(C27="",D27=""),"",C27*D27)</f>
        <v/>
      </c>
      <c r="F27" s="75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0">
        <f>E26</f>
        <v/>
      </c>
      <c r="C28" s="70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78">
        <f>IF(ABS(SUM(B25:B27)-1)&gt;0.02,"请检查概率合计=100%",IF(COUNT(E25:E27)&lt;3,"",SUMPRODUCT(B25:B27,E25:E27)))</f>
        <v/>
      </c>
      <c r="C29" s="70">
        <f>B29</f>
        <v/>
      </c>
    </row>
    <row r="30" ht="15" customHeight="1" s="42">
      <c r="A30" s="9" t="inlineStr">
        <is>
          <t>期望价 vs 现价</t>
        </is>
      </c>
      <c r="B30" s="75">
        <f>IF(OR(B29="",封面!B9="",封面!B9=0),"",B29/封面!B9-1)</f>
        <v/>
      </c>
      <c r="C30" s="71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5" t="n"/>
      <c r="D20" s="65" t="n"/>
      <c r="E20" s="65" t="n"/>
      <c r="F20" s="66" t="n"/>
    </row>
    <row r="21" ht="22.05" customHeight="1" s="42">
      <c r="B21" s="67" t="n"/>
      <c r="C21" s="68" t="n"/>
      <c r="D21" s="68" t="n"/>
      <c r="E21" s="68" t="n"/>
      <c r="F21" s="69" t="n"/>
    </row>
    <row r="22" ht="22.05" customHeight="1" s="42">
      <c r="A22" s="9" t="inlineStr">
        <is>
          <t>我额外押的</t>
        </is>
      </c>
      <c r="B22" s="41" t="n"/>
      <c r="C22" s="65" t="n"/>
      <c r="D22" s="65" t="n"/>
      <c r="E22" s="65" t="n"/>
      <c r="F22" s="66" t="n"/>
    </row>
    <row r="23" ht="22.05" customHeight="1" s="42">
      <c r="B23" s="67" t="n"/>
      <c r="C23" s="68" t="n"/>
      <c r="D23" s="68" t="n"/>
      <c r="E23" s="68" t="n"/>
      <c r="F23" s="69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1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6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1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6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2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2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2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2">
        <f>IF(B13="",IF(B14="","",B14),IF(B14="",B13,MIN(B13,B14)))</f>
        <v/>
      </c>
      <c r="C15" s="72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5">
        <f>IF(OR(B15="",B6="",B6=0),"",B15/B6)</f>
        <v/>
      </c>
      <c r="C16" s="71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2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41" t="inlineStr">
        <is>
          <t>初筛结论：排除。停止建模，不把空表公式算出来的0当作F分数，不给Bear、Base、Bull。云端无 Excel，汇总按模板公式计算。闸门公式：C6到C10里只要有「否」就是排除。本次第3项和第5项为否，第1、2、4项为是。通过项数按公式为3。排除理由：2025年经营现金净流入20,139千元人民币，但年内亏损46,669千元，方向不一致；2024年经营现金净流出7,028千元。经调整净亏损2025年仍为9,322千元。来源是港交所2026年6月18日招股章程概要的利润表、现金流量表和经调整亏损对账，单位人民币千元。当日价格来自2026-10-07收盘复盘，不是新业绩：收盘74.700港元，前收64.800，涨15.28%，成交额0.54亿港元（约5383万），开盘63.000，收在最高价74.700。近20个交易日从33.880涨到74.700，涨120.5%。复盘写智通和财闻转述9月28日董事会批准1.7亿股内资股转H股、约占52.91%，尚未向证监会备案，财闻另写须10月16日股东会，交易所通告没有打开。午盘68.65港元和70.45港元不是收盘。2026-10-07要闻没有点名白鸽在线。要闻和复盘都写A股10月1日至7日休市，这只股票的交易在港股。恒指收24130.50点，跌0.62%，南向关闭，成交额大于5000万港元且涨幅不低于5%的只有3只，白鸽在线是其中一只，成交额刚过线。涨价和未打开的转股通告不改变2025年亏损的符号。</t>
        </is>
      </c>
      <c r="B8" s="65" t="n"/>
      <c r="C8" s="65" t="n"/>
      <c r="D8" s="65" t="n"/>
      <c r="E8" s="65" t="n"/>
      <c r="F8" s="66" t="n"/>
    </row>
    <row r="9" ht="32" customHeight="1" s="42">
      <c r="A9" s="67" t="n"/>
      <c r="B9" s="68" t="n"/>
      <c r="C9" s="68" t="n"/>
      <c r="D9" s="68" t="n"/>
      <c r="E9" s="68" t="n"/>
      <c r="F9" s="69" t="n"/>
    </row>
    <row r="10" ht="22.05" customHeight="1" s="42">
      <c r="A10" s="43" t="inlineStr">
        <is>
          <t>1. 公司与商业模式</t>
        </is>
      </c>
    </row>
    <row r="11" ht="32" customHeight="1" s="42">
      <c r="A11" s="41" t="inlineStr">
        <is>
          <t>排除，停止建模，本节不填。</t>
        </is>
      </c>
      <c r="B11" s="65" t="n"/>
      <c r="C11" s="65" t="n"/>
      <c r="D11" s="65" t="n"/>
      <c r="E11" s="65" t="n"/>
      <c r="F11" s="66" t="n"/>
    </row>
    <row r="12" ht="32" customHeight="1" s="42">
      <c r="A12" s="67" t="n"/>
      <c r="B12" s="68" t="n"/>
      <c r="C12" s="68" t="n"/>
      <c r="D12" s="68" t="n"/>
      <c r="E12" s="68" t="n"/>
      <c r="F12" s="69" t="n"/>
    </row>
    <row r="13" ht="22.05" customHeight="1" s="42">
      <c r="A13" s="43" t="inlineStr">
        <is>
          <t>2. 行业与竞争</t>
        </is>
      </c>
    </row>
    <row r="14" ht="32" customHeight="1" s="42">
      <c r="A14" s="41" t="inlineStr">
        <is>
          <t>排除，停止建模，本节不填。</t>
        </is>
      </c>
      <c r="B14" s="65" t="n"/>
      <c r="C14" s="65" t="n"/>
      <c r="D14" s="65" t="n"/>
      <c r="E14" s="65" t="n"/>
      <c r="F14" s="66" t="n"/>
    </row>
    <row r="15" ht="32" customHeight="1" s="42">
      <c r="A15" s="67" t="n"/>
      <c r="B15" s="68" t="n"/>
      <c r="C15" s="68" t="n"/>
      <c r="D15" s="68" t="n"/>
      <c r="E15" s="68" t="n"/>
      <c r="F15" s="69" t="n"/>
    </row>
    <row r="16" ht="22.05" customHeight="1" s="42">
      <c r="A16" s="43" t="inlineStr">
        <is>
          <t>3. 财务质量</t>
        </is>
      </c>
    </row>
    <row r="17" ht="32" customHeight="1" s="42">
      <c r="A17" s="41" t="inlineStr">
        <is>
          <t>排除，停止建模，本节不填。</t>
        </is>
      </c>
      <c r="B17" s="65" t="n"/>
      <c r="C17" s="65" t="n"/>
      <c r="D17" s="65" t="n"/>
      <c r="E17" s="65" t="n"/>
      <c r="F17" s="66" t="n"/>
    </row>
    <row r="18" ht="32" customHeight="1" s="42">
      <c r="A18" s="67" t="n"/>
      <c r="B18" s="68" t="n"/>
      <c r="C18" s="68" t="n"/>
      <c r="D18" s="68" t="n"/>
      <c r="E18" s="68" t="n"/>
      <c r="F18" s="69" t="n"/>
    </row>
    <row r="19" ht="22.05" customHeight="1" s="42">
      <c r="A19" s="43" t="inlineStr">
        <is>
          <t>4. 估值</t>
        </is>
      </c>
    </row>
    <row r="20" ht="32" customHeight="1" s="42">
      <c r="A20" s="41" t="inlineStr">
        <is>
          <t>排除，停止建模，本节不填。</t>
        </is>
      </c>
      <c r="B20" s="65" t="n"/>
      <c r="C20" s="65" t="n"/>
      <c r="D20" s="65" t="n"/>
      <c r="E20" s="65" t="n"/>
      <c r="F20" s="66" t="n"/>
    </row>
    <row r="21" ht="32" customHeight="1" s="42">
      <c r="A21" s="67" t="n"/>
      <c r="B21" s="68" t="n"/>
      <c r="C21" s="68" t="n"/>
      <c r="D21" s="68" t="n"/>
      <c r="E21" s="68" t="n"/>
      <c r="F21" s="69" t="n"/>
    </row>
    <row r="22" ht="22.05" customHeight="1" s="42">
      <c r="A22" s="43" t="inlineStr">
        <is>
          <t>5. 情绪与预期差</t>
        </is>
      </c>
    </row>
    <row r="23" ht="32" customHeight="1" s="42">
      <c r="A23" s="41" t="inlineStr">
        <is>
          <t>排除，停止建模，本节不填。</t>
        </is>
      </c>
      <c r="B23" s="65" t="n"/>
      <c r="C23" s="65" t="n"/>
      <c r="D23" s="65" t="n"/>
      <c r="E23" s="65" t="n"/>
      <c r="F23" s="66" t="n"/>
    </row>
    <row r="24" ht="32" customHeight="1" s="42">
      <c r="A24" s="67" t="n"/>
      <c r="B24" s="68" t="n"/>
      <c r="C24" s="68" t="n"/>
      <c r="D24" s="68" t="n"/>
      <c r="E24" s="68" t="n"/>
      <c r="F24" s="69" t="n"/>
    </row>
    <row r="25" ht="22.05" customHeight="1" s="42">
      <c r="A25" s="43" t="inlineStr">
        <is>
          <t>6. 催化剂（3–12 个月）</t>
        </is>
      </c>
    </row>
    <row r="26" ht="32" customHeight="1" s="42">
      <c r="A26" s="41" t="inlineStr">
        <is>
          <t>排除，停止建模，本节不填。</t>
        </is>
      </c>
      <c r="B26" s="65" t="n"/>
      <c r="C26" s="65" t="n"/>
      <c r="D26" s="65" t="n"/>
      <c r="E26" s="65" t="n"/>
      <c r="F26" s="66" t="n"/>
    </row>
    <row r="27" ht="32" customHeight="1" s="42">
      <c r="A27" s="67" t="n"/>
      <c r="B27" s="68" t="n"/>
      <c r="C27" s="68" t="n"/>
      <c r="D27" s="68" t="n"/>
      <c r="E27" s="68" t="n"/>
      <c r="F27" s="69" t="n"/>
    </row>
    <row r="28" ht="22.05" customHeight="1" s="42">
      <c r="A28" s="43" t="inlineStr">
        <is>
          <t>7. 风险与 Pre-mortem</t>
        </is>
      </c>
    </row>
    <row r="29" ht="32" customHeight="1" s="42">
      <c r="A29" s="41" t="inlineStr">
        <is>
          <t>排除，停止建模，本节不填。</t>
        </is>
      </c>
      <c r="B29" s="65" t="n"/>
      <c r="C29" s="65" t="n"/>
      <c r="D29" s="65" t="n"/>
      <c r="E29" s="65" t="n"/>
      <c r="F29" s="66" t="n"/>
    </row>
    <row r="30" ht="32" customHeight="1" s="42">
      <c r="A30" s="67" t="n"/>
      <c r="B30" s="68" t="n"/>
      <c r="C30" s="68" t="n"/>
      <c r="D30" s="68" t="n"/>
      <c r="E30" s="68" t="n"/>
      <c r="F30" s="69" t="n"/>
    </row>
    <row r="31" ht="22.05" customHeight="1" s="42">
      <c r="A31" s="43" t="inlineStr">
        <is>
          <t>8. 动作与观察清单</t>
        </is>
      </c>
    </row>
    <row r="32" ht="32" customHeight="1" s="42">
      <c r="A32" s="41" t="inlineStr">
        <is>
          <t>排除，停止建模，本节不填。</t>
        </is>
      </c>
      <c r="B32" s="65" t="n"/>
      <c r="C32" s="65" t="n"/>
      <c r="D32" s="65" t="n"/>
      <c r="E32" s="65" t="n"/>
      <c r="F32" s="66" t="n"/>
    </row>
    <row r="33" ht="32" customHeight="1" s="42">
      <c r="A33" s="67" t="n"/>
      <c r="B33" s="68" t="n"/>
      <c r="C33" s="68" t="n"/>
      <c r="D33" s="68" t="n"/>
      <c r="E33" s="68" t="n"/>
      <c r="F33" s="69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2026-10-07T19:13:08Z</dcterms:modified>
  <cp:lastModifiedBy>张哥</cp:lastModifiedBy>
</cp:coreProperties>
</file>