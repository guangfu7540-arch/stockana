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name="使用说明" sheetId="1" state="visible" r:id="rId1"/>
    <sheet name="封面" sheetId="2" state="visible" r:id="rId2"/>
    <sheet name="初筛" sheetId="3" state="visible" r:id="rId3"/>
    <sheet name="财务" sheetId="4" state="visible" r:id="rId4"/>
    <sheet name="评分" sheetId="5" state="visible" r:id="rId5"/>
    <sheet name="估值" sheetId="6" state="visible" r:id="rId6"/>
    <sheet name="情绪" sheetId="7" state="visible" r:id="rId7"/>
    <sheet name="风险" sheetId="8" state="visible" r:id="rId8"/>
    <sheet name="备忘录" sheetId="9" state="visible" r:id="rId9"/>
    <sheet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  <numFmt numFmtId="171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171" fontId="7" fillId="8" borderId="1" applyAlignment="1" pivotButton="0" quotePrefix="0" xfId="0">
      <alignment vertical="top" wrapText="1"/>
    </xf>
    <xf numFmtId="2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49" fontId="7" fillId="8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vertical="top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vertical="top" wrapText="1"/>
    </xf>
    <xf numFmtId="166" fontId="7" fillId="8" borderId="1" applyAlignment="1" pivotButton="0" quotePrefix="0" xfId="0">
      <alignment vertical="top" wrapText="1"/>
    </xf>
    <xf numFmtId="10" fontId="7" fillId="8" borderId="1" applyAlignment="1" pivotButton="0" quotePrefix="0" xfId="0">
      <alignment vertical="top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6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3"/>
    <row r="4" ht="22.05" customHeight="1" s="42">
      <c r="A4" s="64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0"/>
    <row r="11" ht="22.05" customHeight="1" s="42">
      <c r="A11" s="64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7"/>
    <row r="18" ht="22.05" customHeight="1" s="42">
      <c r="A18" s="64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3"/>
    <row r="24" ht="22.05" customHeight="1" s="42">
      <c r="A24" s="64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6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3"/>
    <row r="4" ht="22.05" customHeight="1" s="42">
      <c r="A4" s="64" t="inlineStr">
        <is>
          <t>标的</t>
        </is>
      </c>
    </row>
    <row r="5" ht="22.05" customHeight="1" s="42">
      <c r="A5" s="9" t="inlineStr">
        <is>
          <t>股票代码</t>
        </is>
      </c>
      <c r="B5" s="65" t="inlineStr">
        <is>
          <t>01276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5" t="inlineStr">
        <is>
          <t>恒瑞医药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5" t="inlineStr">
        <is>
          <t>港股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6" t="n">
        <v>46295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7" t="n">
        <v>50.2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5" t="inlineStr">
        <is>
          <t>HKD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5" t="inlineStr">
        <is>
          <t>化学制药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5" t="inlineStr">
        <is>
          <t>FY2025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5" t="inlineStr">
        <is>
          <t>药品销售和已实现的对外许可说得清，2025年扣非净利润74.13亿元、经营现金流112.35亿元。H股9月30日收盘50.20港元对应概率加权价42.23港元，现价更高。同花顺转述的最高26亿美元和3亿美元首付款没有打开公司公告，不计入基准盈利。</t>
        </is>
      </c>
      <c r="C13" s="68" t="n"/>
      <c r="D13" s="68" t="n"/>
      <c r="E13" s="68" t="n"/>
      <c r="F13" s="69" t="n"/>
    </row>
    <row r="14" ht="36" customHeight="1" s="42">
      <c r="B14" s="70" t="n"/>
      <c r="C14" s="71" t="n"/>
      <c r="D14" s="71" t="n"/>
      <c r="E14" s="71" t="n"/>
      <c r="F14" s="72" t="n"/>
    </row>
    <row r="15"/>
    <row r="16" ht="22.05" customHeight="1" s="42">
      <c r="A16" s="64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5" t="inlineStr">
        <is>
          <t>贵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5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5" t="inlineStr">
        <is>
          <t>等待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5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5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5" t="inlineStr">
        <is>
          <t>把9月29日HRS-1596授权的潜在总额和首付款写成已经到账的收入。</t>
        </is>
      </c>
      <c r="C22" s="47" t="n"/>
      <c r="D22" s="45" t="inlineStr">
        <is>
          <t>会推翻论点的那一条</t>
        </is>
      </c>
      <c r="E22" s="46" t="n"/>
      <c r="F22" s="47" t="n"/>
    </row>
    <row r="23"/>
    <row r="24" ht="22.05" customHeight="1" s="42">
      <c r="A24" s="64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3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4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4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5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6"/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6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4"/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5" t="inlineStr">
        <is>
          <t>是</t>
        </is>
      </c>
      <c r="D6" s="65" t="inlineStr">
        <is>
          <t>研发、生产和销售药品，客户是医院、经销商和被许可方。2025年营业收入31,629,416,193.83元，同比增13.02%。来源：巨潮资讯2026-03-26《江苏恒瑞医药股份有限公司2025年年度报告》主要会计数据。H股代码01276与A股600276是同一发行人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5" t="inlineStr">
        <is>
          <t>是</t>
        </is>
      </c>
      <c r="D7" s="65" t="inlineStr">
        <is>
          <t>年报公司负责人孙飘扬。东方财富：实际控制人孙飘扬，控股股东江苏恒瑞医药集团有限公司。2026-06-30该股东持股1,538,184,187股，占23.18%。2025年筹资现金流净额7,781,707,371.70元，年报写明是发行H股募集资金，不是实控人把上市公司当成没有产品的融资壳。来源：年报董事简历和筹资现金流说明；东方财富股东数据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5" t="inlineStr">
        <is>
          <t>是</t>
        </is>
      </c>
      <c r="D8" s="65" t="inlineStr">
        <is>
          <t>是。2025年经营活动现金流量净额11,235,378,130.63元，归母净利润7,711,054,811.98元，都为正，现金更高。年报写现金流增加主要是对外许可首付款收到的现金增加，这是已经进2025年报表的现金，不是9月29日那笔尚未打开公告的首付款。来源：2025年年度报告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5" t="inlineStr">
        <is>
          <t>是</t>
        </is>
      </c>
      <c r="D9" s="65" t="inlineStr">
        <is>
          <t>是。2025年末货币资金40,955,482,467.79元。东方财富资产负债表短期借款、长期借款、应付债券为空。有息负债按租赁负债43,307,401.28元加一年内到期的非流动负债30,925,675.25元，合计7,423万元。利息费用14,349,097.41元，其中租赁负债利息4,223,589.76元。营业利润8,990,002,841.99元，利息没有吃掉利润。来源：年报利息支出附注；东方财富2025年资产负债表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5" t="inlineStr">
        <is>
          <t>是</t>
        </is>
      </c>
      <c r="D10" s="65" t="inlineStr">
        <is>
          <t>是。2025年扣非归母净利润7,413,405,567.05元，同比增20.00%。2024年6,177,966,481.30元，2023年4,141,262,764.05元。扣非后主业连续盈利。来源：2025年年度报告主要会计数据。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3"/>
    <row r="14" ht="22.05" customHeight="1" s="42">
      <c r="A14" s="64" t="inlineStr">
        <is>
          <t>若通过，用一句话写下商业模式（给备忘录用）</t>
        </is>
      </c>
    </row>
    <row r="15" ht="22.05" customHeight="1" s="42">
      <c r="A15" s="65" t="inlineStr">
        <is>
          <t>向医院和经销商卖药品，也向被许可方收对外许可对价。2025年收入316.29亿元，扣非净利润74.13亿元。</t>
        </is>
      </c>
      <c r="B15" s="68" t="n"/>
      <c r="C15" s="68" t="n"/>
      <c r="D15" s="68" t="n"/>
      <c r="E15" s="68" t="n"/>
      <c r="F15" s="69" t="n"/>
    </row>
    <row r="16" ht="22.05" customHeight="1" s="42">
      <c r="A16" s="76" t="n"/>
      <c r="F16" s="77" t="n"/>
    </row>
    <row r="17" ht="22.05" customHeight="1" s="42">
      <c r="A17" s="70" t="n"/>
      <c r="B17" s="71" t="n"/>
      <c r="C17" s="71" t="n"/>
      <c r="D17" s="71" t="n"/>
      <c r="E17" s="71" t="n"/>
      <c r="F17" s="72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6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4"/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78" t="inlineStr">
        <is>
          <t>2021</t>
        </is>
      </c>
      <c r="C6" s="78" t="inlineStr">
        <is>
          <t>2022</t>
        </is>
      </c>
      <c r="D6" s="78" t="inlineStr">
        <is>
          <t>2023</t>
        </is>
      </c>
      <c r="E6" s="78" t="inlineStr">
        <is>
          <t>2024</t>
        </is>
      </c>
      <c r="F6" s="78" t="inlineStr">
        <is>
          <t>2025</t>
        </is>
      </c>
      <c r="G6" s="26" t="inlineStr">
        <is>
          <t>勿填</t>
        </is>
      </c>
      <c r="H6" s="26" t="inlineStr">
        <is>
          <t>单位写这里 →</t>
        </is>
      </c>
      <c r="I6" s="65" t="inlineStr">
        <is>
          <t>百万元人民币</t>
        </is>
      </c>
    </row>
    <row r="7" ht="20" customHeight="1" s="42">
      <c r="A7" s="9" t="inlineStr">
        <is>
          <t>营业收入</t>
        </is>
      </c>
      <c r="B7" s="79" t="n">
        <v>25905.53</v>
      </c>
      <c r="C7" s="79" t="n">
        <v>21275.27</v>
      </c>
      <c r="D7" s="79" t="n">
        <v>22819.78</v>
      </c>
      <c r="E7" s="79" t="n">
        <v>27984.61</v>
      </c>
      <c r="F7" s="79" t="n">
        <v>31629.42</v>
      </c>
      <c r="G7" s="80">
        <f>IF(OR(E7="",E7=0,F7=""),"",(F7-E7)/E7)</f>
        <v/>
      </c>
      <c r="H7" s="28" t="n"/>
      <c r="I7" s="65" t="inlineStr">
        <is>
          <t>2023-2025收入、利润、经营现金流见巨潮2025年报；2021-2022见东方财富数据中心年度财务，单位已换算为百万元。</t>
        </is>
      </c>
    </row>
    <row r="8" ht="20" customHeight="1" s="42">
      <c r="A8" s="9" t="inlineStr">
        <is>
          <t>毛利</t>
        </is>
      </c>
      <c r="B8" s="79" t="n">
        <v>22163.73</v>
      </c>
      <c r="C8" s="79" t="n">
        <v>17788.63</v>
      </c>
      <c r="D8" s="79" t="n">
        <v>19294.54</v>
      </c>
      <c r="E8" s="79" t="n">
        <v>24136.43</v>
      </c>
      <c r="F8" s="79" t="n">
        <v>27266.76</v>
      </c>
      <c r="G8" s="80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81" t="n">
        <v>0.8556</v>
      </c>
      <c r="C9" s="81" t="n">
        <v>0.8361</v>
      </c>
      <c r="D9" s="81" t="n">
        <v>0.8455</v>
      </c>
      <c r="E9" s="81" t="n">
        <v>0.8625</v>
      </c>
      <c r="F9" s="81" t="n">
        <v>0.8621</v>
      </c>
      <c r="G9" s="80">
        <f>IF(OR(E9="",F9=""),"",F9-E9)</f>
        <v/>
      </c>
      <c r="H9" s="80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9" t="n">
        <v>4200.7</v>
      </c>
      <c r="C10" s="79" t="n">
        <v>3409.63</v>
      </c>
      <c r="D10" s="79" t="n">
        <v>4141.26</v>
      </c>
      <c r="E10" s="79" t="n">
        <v>6177.97</v>
      </c>
      <c r="F10" s="79" t="n">
        <v>7413.41</v>
      </c>
      <c r="G10" s="80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9" t="n">
        <v>4530.22</v>
      </c>
      <c r="C11" s="79" t="n">
        <v>3906.38</v>
      </c>
      <c r="D11" s="79" t="n">
        <v>4302.44</v>
      </c>
      <c r="E11" s="79" t="n">
        <v>6336.53</v>
      </c>
      <c r="F11" s="79" t="n">
        <v>7711.05</v>
      </c>
      <c r="G11" s="80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9" t="n">
        <v>4218.82</v>
      </c>
      <c r="C12" s="79" t="n">
        <v>1265.26</v>
      </c>
      <c r="D12" s="79" t="n">
        <v>7643.67</v>
      </c>
      <c r="E12" s="79" t="n">
        <v>7422.75</v>
      </c>
      <c r="F12" s="79" t="n">
        <v>11235.38</v>
      </c>
      <c r="G12" s="80">
        <f>IF(OR(E12="",E12=0,F12=""),"",(F12-E12)/E12)</f>
        <v/>
      </c>
      <c r="H12" s="82">
        <f>IF(OR(F11="",F11=0,F12=""),"",F12/F11)</f>
        <v/>
      </c>
      <c r="I12" s="65" t="inlineStr">
        <is>
          <t>2025年报：经营现金流增加主要是对外许可首付款现金，不是9月29日未打开的那笔。</t>
        </is>
      </c>
    </row>
    <row r="13" ht="20" customHeight="1" s="42">
      <c r="A13" s="9" t="inlineStr">
        <is>
          <t>资本开支</t>
        </is>
      </c>
      <c r="B13" s="79" t="n">
        <v>1664.64</v>
      </c>
      <c r="C13" s="79" t="n">
        <v>1992.18</v>
      </c>
      <c r="D13" s="79" t="n">
        <v>1483.79</v>
      </c>
      <c r="E13" s="79" t="n">
        <v>1969.2</v>
      </c>
      <c r="F13" s="79" t="n">
        <v>2961.91</v>
      </c>
      <c r="G13" s="80">
        <f>IF(OR(E13="",E13=0,F13=""),"",(F13-E13)/E13)</f>
        <v/>
      </c>
      <c r="H13" s="28" t="n"/>
      <c r="I13" s="65" t="inlineStr">
        <is>
          <t>购建固定资产、无形资产和其他长期资产支付的现金。2025年2,961,906,284.58元，年报现金流量表。</t>
        </is>
      </c>
    </row>
    <row r="14" ht="20" customHeight="1" s="42">
      <c r="A14" s="9" t="inlineStr">
        <is>
          <t>自由现金流</t>
        </is>
      </c>
      <c r="B14" s="79" t="n">
        <v>2554.18</v>
      </c>
      <c r="C14" s="79" t="n">
        <v>-726.92</v>
      </c>
      <c r="D14" s="79" t="n">
        <v>6159.88</v>
      </c>
      <c r="E14" s="79" t="n">
        <v>5453.55</v>
      </c>
      <c r="F14" s="79" t="n">
        <v>8273.469999999999</v>
      </c>
      <c r="G14" s="80">
        <f>IF(OR(E14="",E14=0,F14=""),"",(F14-E14)/E14)</f>
        <v/>
      </c>
      <c r="H14" s="83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81" t="n">
        <v>0.1396</v>
      </c>
      <c r="C15" s="81" t="n">
        <v>0.1089</v>
      </c>
      <c r="D15" s="81" t="n">
        <v>0.1099</v>
      </c>
      <c r="E15" s="81" t="n">
        <v>0.1473</v>
      </c>
      <c r="F15" s="81" t="n">
        <v>0.1426</v>
      </c>
      <c r="G15" s="80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81" t="n">
        <v>0.1239</v>
      </c>
      <c r="C16" s="81" t="n">
        <v>0.091</v>
      </c>
      <c r="D16" s="81" t="n">
        <v>0.0941</v>
      </c>
      <c r="E16" s="81" t="n">
        <v>0.1315</v>
      </c>
      <c r="F16" s="81" t="n">
        <v>0.1285</v>
      </c>
      <c r="G16" s="80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9" t="n">
        <v>39266.22</v>
      </c>
      <c r="C17" s="79" t="n">
        <v>42370.88</v>
      </c>
      <c r="D17" s="79" t="n">
        <v>43784.51</v>
      </c>
      <c r="E17" s="79" t="n">
        <v>50135.65</v>
      </c>
      <c r="F17" s="79" t="n">
        <v>69867.32000000001</v>
      </c>
      <c r="G17" s="80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9" t="n">
        <v>151.59</v>
      </c>
      <c r="C18" s="79" t="n">
        <v>1359.8</v>
      </c>
      <c r="D18" s="79" t="n">
        <v>75.18000000000001</v>
      </c>
      <c r="E18" s="79" t="n">
        <v>110.16</v>
      </c>
      <c r="F18" s="79" t="n">
        <v>74.23</v>
      </c>
      <c r="G18" s="80">
        <f>IF(OR(E18="",E18=0,F18=""),"",(F18-E18)/E18)</f>
        <v/>
      </c>
      <c r="H18" s="28" t="n"/>
      <c r="I18" s="65" t="inlineStr">
        <is>
          <t>租赁负债加一年内到期非流动负债。2022年另含短期借款。银行借款2025年字段为空。</t>
        </is>
      </c>
    </row>
    <row r="19" ht="20" customHeight="1" s="42">
      <c r="A19" s="9" t="inlineStr">
        <is>
          <t>现金及等价物</t>
        </is>
      </c>
      <c r="B19" s="79" t="n">
        <v>13630.82</v>
      </c>
      <c r="C19" s="79" t="n">
        <v>15110.68</v>
      </c>
      <c r="D19" s="79" t="n">
        <v>20746.1</v>
      </c>
      <c r="E19" s="79" t="n">
        <v>24815.91</v>
      </c>
      <c r="F19" s="79" t="n">
        <v>40955.48</v>
      </c>
      <c r="G19" s="80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9" t="n">
        <v>-13479.23</v>
      </c>
      <c r="C20" s="79" t="n">
        <v>-13750.88</v>
      </c>
      <c r="D20" s="79" t="n">
        <v>-20670.92</v>
      </c>
      <c r="E20" s="79" t="n">
        <v>-24705.75</v>
      </c>
      <c r="F20" s="79" t="n">
        <v>-40881.25</v>
      </c>
      <c r="G20" s="80">
        <f>IF(OR(E20="",E20=0,F20=""),"",(F20-E20)/E20)</f>
        <v/>
      </c>
      <c r="H20" s="83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9" t="n">
        <v>0</v>
      </c>
      <c r="C21" s="79" t="n">
        <v>0</v>
      </c>
      <c r="D21" s="79" t="n">
        <v>0</v>
      </c>
      <c r="E21" s="79" t="n">
        <v>0</v>
      </c>
      <c r="F21" s="79" t="n">
        <v>0</v>
      </c>
      <c r="G21" s="80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9" t="n">
        <v>5713.55</v>
      </c>
      <c r="C22" s="79" t="n">
        <v>6394.19</v>
      </c>
      <c r="D22" s="79" t="n">
        <v>5520.33</v>
      </c>
      <c r="E22" s="79" t="n">
        <v>5064.75</v>
      </c>
      <c r="F22" s="79" t="n">
        <v>5278.69</v>
      </c>
      <c r="G22" s="80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9" t="n">
        <v>2402.67</v>
      </c>
      <c r="C23" s="79" t="n">
        <v>2450.57</v>
      </c>
      <c r="D23" s="79" t="n">
        <v>2314.03</v>
      </c>
      <c r="E23" s="79" t="n">
        <v>2417.12</v>
      </c>
      <c r="F23" s="79" t="n">
        <v>2878.41</v>
      </c>
      <c r="G23" s="80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9" t="n">
        <v>6396.01</v>
      </c>
      <c r="C24" s="79" t="n">
        <v>6379</v>
      </c>
      <c r="D24" s="79" t="n">
        <v>6379</v>
      </c>
      <c r="E24" s="79" t="n">
        <v>6379</v>
      </c>
      <c r="F24" s="79" t="n">
        <v>6637.2</v>
      </c>
      <c r="G24" s="80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6"/>
    <row r="27" ht="22.05" customHeight="1" s="42">
      <c r="A27" s="64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65" t="inlineStr">
        <is>
          <t>收入从2023年228.20亿元增到2025年316.29亿元。扣非净利润从41.41亿元增到74.13亿元。自由现金流从2023年61.60亿元增到2025年82.73亿元。2022年经营现金流只有12.65亿元，是低点，不是最新方向。</t>
        </is>
      </c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65" t="inlineStr">
        <is>
          <t>毛利率从2023年0.8455到2025年0.8621，两年稳定在0.86附近。销售费用2025年91.06亿元，管理费用28.06亿元，研发费用69.61亿元。费用在涨，没有快过收入。净利增长不是靠费用塌陷。</t>
        </is>
      </c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65" t="inlineStr">
        <is>
          <t>东方财富口径2025年ROIC 0.1285，加权平均ROE 0.1426。没有单独取得可靠WACC，不写成已经证明高于资本成本。回报来自药品和许可，不是加银行借款。</t>
        </is>
      </c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65" t="inlineStr">
        <is>
          <t>2025年经营现金流112.35亿元，是归母净利润的1.46倍。应计为负。年报把现金流同比增加归到对外许可首付款，所以现金质量好，但不能把全部增长外推成产品回款。</t>
        </is>
      </c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65" t="inlineStr">
        <is>
          <t>货币资金409.55亿元，有息负债约0.74亿元，净现金。商誉字段为空，按0计。应收账款52.79亿元，慢于收入。存货28.78亿元。没有商誉暴增。</t>
        </is>
      </c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6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4"/>
    <row r="5" ht="22.05" customHeight="1" s="42">
      <c r="A5" s="64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9" t="n">
        <v>6336.53</v>
      </c>
      <c r="C7" s="79" t="n">
        <v>7711.05</v>
      </c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9" t="n">
        <v>50135.65</v>
      </c>
      <c r="C8" s="79" t="n">
        <v>69867.32000000001</v>
      </c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9" t="n">
        <v>7422.75</v>
      </c>
      <c r="C9" s="79" t="n">
        <v>11235.38</v>
      </c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9" t="n">
        <v>110.16</v>
      </c>
      <c r="C10" s="79" t="n">
        <v>74.23</v>
      </c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9" t="n">
        <v>35314.93</v>
      </c>
      <c r="C11" s="79" t="n">
        <v>51490.37</v>
      </c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9" t="n">
        <v>3633.6</v>
      </c>
      <c r="C12" s="79" t="n">
        <v>6369.24</v>
      </c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9" t="n">
        <v>6379</v>
      </c>
      <c r="C13" s="79" t="n">
        <v>6637.2</v>
      </c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9" t="n">
        <v>24136.43</v>
      </c>
      <c r="C14" s="79" t="n">
        <v>27266.76</v>
      </c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9" t="n">
        <v>27984.61</v>
      </c>
      <c r="C15" s="79" t="n">
        <v>31629.42</v>
      </c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9" t="n">
        <v>37164.44</v>
      </c>
      <c r="C16" s="79" t="n">
        <v>43601.36</v>
      </c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9" t="n">
        <v>7496.19</v>
      </c>
      <c r="C17" s="79" t="n">
        <v>9004.35</v>
      </c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9" t="n">
        <v>4045.39</v>
      </c>
      <c r="C18" s="79" t="n">
        <v>8070.49</v>
      </c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84" t="n"/>
      <c r="C19" s="79" t="n">
        <v>312171.01</v>
      </c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84" t="n"/>
      <c r="C20" s="84" t="n"/>
      <c r="D20" s="45" t="inlineStr">
        <is>
          <t>留空则用右边自动值</t>
        </is>
      </c>
      <c r="E20" s="83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9" t="n">
        <v>5064.75</v>
      </c>
      <c r="C21" s="79" t="n">
        <v>5278.69</v>
      </c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9" t="n">
        <v>5131.97</v>
      </c>
      <c r="C22" s="79" t="n">
        <v>5830.33</v>
      </c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9" t="n">
        <v>655.02</v>
      </c>
      <c r="C23" s="79" t="n">
        <v>689.2</v>
      </c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9" t="n">
        <v>10891.76</v>
      </c>
      <c r="C24" s="79" t="n">
        <v>11912.64</v>
      </c>
      <c r="D24" s="45" t="inlineStr">
        <is>
          <t>M 分数用；没有可留空</t>
        </is>
      </c>
      <c r="E24" s="46" t="n"/>
      <c r="F24" s="47" t="n"/>
    </row>
    <row r="25"/>
    <row r="26" ht="22.05" customHeight="1" s="42">
      <c r="A26" s="64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8"/>
    <row r="29" ht="22.05" customHeight="1" s="42">
      <c r="A29" s="64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1"/>
    <row r="42" ht="22.05" customHeight="1" s="42">
      <c r="A42" s="64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65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0"/>
    <row r="51" ht="22.05" customHeight="1" s="42">
      <c r="A51" s="64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5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5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5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5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5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5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5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5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1"/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3"/>
    <row r="64" ht="22.05" customHeight="1" s="42">
      <c r="A64" s="64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6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4"/>
    <row r="5" ht="22.05" customHeight="1" s="42">
      <c r="A5" s="64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65" t="inlineStr">
        <is>
          <t>有</t>
        </is>
      </c>
      <c r="C7" s="65" t="inlineStr">
        <is>
          <t>在售药品组合和已获批的创新药是无形资产。2025年收入316.29亿元、扣非74.13亿元。HRS-1596授权的专利价值还没有进已审计收入，不把潜在26亿美元写成已经资本化的无形资产。</t>
        </is>
      </c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65" t="inlineStr">
        <is>
          <t>弱</t>
        </is>
      </c>
      <c r="C8" s="65" t="inlineStr">
        <is>
          <t>医院处方有转换成本，但集采和同类靶点会削弱。年报没有给出续约率。</t>
        </is>
      </c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65" t="inlineStr">
        <is>
          <t>无</t>
        </is>
      </c>
      <c r="C9" s="65" t="inlineStr">
        <is>
          <t>药品不是双边网络。</t>
        </is>
      </c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65" t="inlineStr">
        <is>
          <t>弱</t>
        </is>
      </c>
      <c r="C10" s="65" t="inlineStr">
        <is>
          <t>毛利率0.8621。这是产品和结构，不是相对每家同行的成本审计。同行中位待查。</t>
        </is>
      </c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65" t="inlineStr">
        <is>
          <t>无</t>
        </is>
      </c>
      <c r="C11" s="65" t="inlineStr">
        <is>
          <t>创新药不是利基市场。年报自己写竞争加剧、靶点同质化。</t>
        </is>
      </c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65" t="inlineStr">
        <is>
          <t>东方财富2025年ROIC 0.1285。没有可靠WACC，不写成完整周期高于资本成本。再投资能否继续获得超额回报，要看下一次年报的ROIC，而不是9月30日的涨幅。</t>
        </is>
      </c>
      <c r="C12" s="46" t="n"/>
      <c r="D12" s="46" t="n"/>
      <c r="E12" s="46" t="n"/>
      <c r="F12" s="47" t="n"/>
    </row>
    <row r="13"/>
    <row r="14" ht="22.05" customHeight="1" s="42">
      <c r="A14" s="64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67" t="n">
        <v>36.07</v>
      </c>
      <c r="C16" s="67" t="inlineStr">
        <is>
          <t>待查</t>
        </is>
      </c>
      <c r="D16" s="67" t="inlineStr">
        <is>
          <t>待查</t>
        </is>
      </c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67" t="n">
        <v>4.61</v>
      </c>
      <c r="C17" s="67" t="inlineStr">
        <is>
          <t>待查</t>
        </is>
      </c>
      <c r="D17" s="67" t="inlineStr">
        <is>
          <t>待查</t>
        </is>
      </c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67" t="inlineStr">
        <is>
          <t>待查</t>
        </is>
      </c>
      <c r="C18" s="67" t="inlineStr">
        <is>
          <t>待查</t>
        </is>
      </c>
      <c r="D18" s="67" t="inlineStr">
        <is>
          <t>待查</t>
        </is>
      </c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67" t="n">
        <v>27.99</v>
      </c>
      <c r="C19" s="67" t="inlineStr">
        <is>
          <t>待查</t>
        </is>
      </c>
      <c r="D19" s="67" t="inlineStr">
        <is>
          <t>待查</t>
        </is>
      </c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67" t="n">
        <v>8.58</v>
      </c>
      <c r="C20" s="67" t="inlineStr">
        <is>
          <t>待查</t>
        </is>
      </c>
      <c r="D20" s="67" t="inlineStr">
        <is>
          <t>待查</t>
        </is>
      </c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67" t="n">
        <v>0.029</v>
      </c>
      <c r="C21" s="67" t="inlineStr">
        <is>
          <t>待查</t>
        </is>
      </c>
      <c r="D21" s="67" t="inlineStr">
        <is>
          <t>待查</t>
        </is>
      </c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2"/>
    <row r="23" ht="22.05" customHeight="1" s="42">
      <c r="A23" s="64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81" t="n">
        <v>0.25</v>
      </c>
      <c r="C25" s="79" t="n">
        <v>1.3918</v>
      </c>
      <c r="D25" s="86" t="n">
        <v>22</v>
      </c>
      <c r="E25" s="83">
        <f>IF(OR(C25="",D25=""),"",C25*D25)</f>
        <v/>
      </c>
      <c r="F25" s="80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81" t="n">
        <v>0.5</v>
      </c>
      <c r="C26" s="79" t="n">
        <v>1.531</v>
      </c>
      <c r="D26" s="86" t="n">
        <v>28</v>
      </c>
      <c r="E26" s="83">
        <f>IF(OR(C26="",D26=""),"",C26*D26)</f>
        <v/>
      </c>
      <c r="F26" s="80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81" t="n">
        <v>0.25</v>
      </c>
      <c r="C27" s="79" t="n">
        <v>1.6423</v>
      </c>
      <c r="D27" s="86" t="n">
        <v>32</v>
      </c>
      <c r="E27" s="83">
        <f>IF(OR(C27="",D27=""),"",C27*D27)</f>
        <v/>
      </c>
      <c r="F27" s="80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3">
        <f>E26</f>
        <v/>
      </c>
      <c r="C28" s="73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3">
        <f>IF(ABS(SUM(B25:B27)-1)&gt;0.02,"请检查概率合计=100%",IF(COUNT(E25:E27)&lt;3,"",SUMPRODUCT(B25:B27,E25:E27)))</f>
        <v/>
      </c>
      <c r="C29" s="73">
        <f>B29</f>
        <v/>
      </c>
    </row>
    <row r="30" ht="15" customHeight="1" s="42">
      <c r="A30" s="9" t="inlineStr">
        <is>
          <t>期望价 vs 现价</t>
        </is>
      </c>
      <c r="B30" s="80">
        <f>IF(OR(B29="",封面!B9="",封面!B9=0),"",B29/封面!B9-1)</f>
        <v/>
      </c>
      <c r="C30" s="74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2"/>
    <row r="33" ht="22.05" customHeight="1" s="42">
      <c r="A33" s="64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65" t="inlineStr">
        <is>
          <t>没有取到可引用的一致预期收入增速。价格里可见的是H股50.20港元，对应2025年基本每股收益1.19元人民币、按0.8550汇率换成约1.39港元后的36倍。复盘转述财闻：花旗H股目标价120港元。那是单篇转述，不采用为市场一致预期。</t>
        </is>
      </c>
      <c r="C35" s="65" t="inlineStr">
        <is>
          <t>基准不把最高26亿美元或3亿美元首付款写入2026年收入。收入增速用10%，低于2025年利润增速21.69%，接近2025年收入增速13.02%。</t>
        </is>
      </c>
      <c r="D35" s="65" t="inlineStr">
        <is>
          <t>2025年收入同比0.1302。五年市盈率中位待查。</t>
        </is>
      </c>
      <c r="E35" s="65" t="inlineStr">
        <is>
          <t>我不把未打开公告的首付款当成已经锁定的明年收入。</t>
        </is>
      </c>
      <c r="F35" s="65" t="inlineStr">
        <is>
          <t>2025年报；雅虎HKDCNY=X 2026-09-30收盘0.8550；2026-09-30收盘复盘。</t>
        </is>
      </c>
    </row>
    <row r="36" ht="24" customHeight="1" s="42">
      <c r="A36" s="9" t="inlineStr">
        <is>
          <t>利润率</t>
        </is>
      </c>
      <c r="B36" s="65" t="inlineStr">
        <is>
          <t>2025年毛利率0.8621。市场用成长股倍数，不是用毛利率单独定价。</t>
        </is>
      </c>
      <c r="C36" s="65" t="inlineStr">
        <is>
          <t>基准不假设毛利率升到0.8621以上。</t>
        </is>
      </c>
      <c r="D36" s="65" t="inlineStr">
        <is>
          <t>毛利率2023年0.8455、2024年0.8625、2025年0.8621。</t>
        </is>
      </c>
      <c r="E36" s="65" t="inlineStr">
        <is>
          <t>利润率不是我额外乐观的地方。</t>
        </is>
      </c>
      <c r="F36" s="65" t="inlineStr">
        <is>
          <t>2025年报营业成本与收入。</t>
        </is>
      </c>
    </row>
    <row r="37" ht="24" customHeight="1" s="42">
      <c r="A37" s="9" t="inlineStr">
        <is>
          <t>FCF / 派息</t>
        </is>
      </c>
      <c r="B37" s="65" t="inlineStr">
        <is>
          <t>2025年自由现金流8273.47百万元人民币，对H股价格的每股自由现金流收益率约0.0290。</t>
        </is>
      </c>
      <c r="C37" s="65" t="inlineStr">
        <is>
          <t>基准不假设2026年再收到一笔与2025年同规模的许可首付款。</t>
        </is>
      </c>
      <c r="D37" s="65" t="inlineStr">
        <is>
          <t>自由现金流2023至2025年分别为61.60亿、54.54亿、82.73亿元人民币。</t>
        </is>
      </c>
      <c r="E37" s="65" t="inlineStr">
        <is>
          <t>现金多，但收益率盖不住约36倍的静态市盈率。</t>
        </is>
      </c>
      <c r="F37" s="65" t="inlineStr">
        <is>
          <t>年报经营现金流减购建长期资产现金；市值自算。</t>
        </is>
      </c>
    </row>
    <row r="38" ht="24" customHeight="1" s="42">
      <c r="A38" s="9" t="inlineStr">
        <is>
          <t>竞争格局</t>
        </is>
      </c>
      <c r="B38" s="65" t="inlineStr">
        <is>
          <t>创新药出海和GLP-1授权被写成增长故事。</t>
        </is>
      </c>
      <c r="C38" s="65" t="inlineStr">
        <is>
          <t>复盘写的是转述：9月29日把HRS-1596在大中华区以外的权利授予诺和诺德，潜在总额最高26亿美元，含3亿美元首付款。两篇都没打开公司公告PDF。早上要闻写明，恒瑞许可已经在更早的简报里，不重复计成9月30日的新事件。</t>
        </is>
      </c>
      <c r="D38" s="65" t="inlineStr">
        <is>
          <t>2025年收入已经增长13%，扣非增长20%，那是已实现的，不是这份9月29日转述。</t>
        </is>
      </c>
      <c r="E38" s="65" t="inlineStr">
        <is>
          <t>转述文本强于可核对的新增收入。</t>
        </is>
      </c>
      <c r="F38" s="65" t="inlineStr">
        <is>
          <t>2026-09-30收盘复盘；2026-09-30每日全球金融要闻源缺口。</t>
        </is>
      </c>
    </row>
    <row r="39" ht="24" customHeight="1" s="42">
      <c r="A39" s="9" t="inlineStr">
        <is>
          <t>倍数/折现率</t>
        </is>
      </c>
      <c r="B39" s="65" t="inlineStr">
        <is>
          <t>H股静态市盈率36.07倍。市净率4.61倍。EV/EBITDA 27.99倍，EBITDA只加了固定资产折旧，无形资产摊销待查，所以这个倍数偏高估企业价值倍数的分母风险，方向是宁可用现金流。</t>
        </is>
      </c>
      <c r="C39" s="65" t="inlineStr">
        <is>
          <t>基准每股收益1.5310港元乘以28倍，等于42.87港元。熊市1.3918港元乘以22倍，等于30.62港元。牛市1.6423港元乘以32倍，等于52.55港元。</t>
        </is>
      </c>
      <c r="D39" s="65" t="inlineStr">
        <is>
          <t>自身五年中位待查。不把花旗转述的120港元填进牛市价格。</t>
        </is>
      </c>
      <c r="E39" s="65" t="inlineStr">
        <is>
          <t>现价50.20港元高于基准价42.87港元，也高于概率加权价42.23港元。</t>
        </is>
      </c>
      <c r="F39" s="65" t="inlineStr">
        <is>
          <t>情景倍数是假设，不是公司指引。汇率用雅虎HKDCNY=X的0.8550，人民币每股收益乘以1/0.8550换成港元。</t>
        </is>
      </c>
    </row>
    <row r="40"/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6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4"/>
    <row r="5" ht="22.05" customHeight="1" s="42">
      <c r="A5" s="64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65" t="inlineStr">
        <is>
          <t>过去30天里，和这只H股直接相关、而且复盘核对过的叙事，是9月29日HRS-1596授权给诺和诺德的转述，以及9月30日股价上涨。要闻把更早已经写过的恒瑞许可排除在9月30日新事件之外。</t>
        </is>
      </c>
      <c r="C7" s="65" t="inlineStr">
        <is>
          <t>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65" t="inlineStr">
        <is>
          <t>2026-09-30收盘复盘；2026-09-30要闻源缺口。</t>
        </is>
      </c>
    </row>
    <row r="8" ht="36" customHeight="1" s="42">
      <c r="A8" s="9" t="inlineStr">
        <is>
          <t>社交与散户</t>
        </is>
      </c>
      <c r="B8" s="65" t="inlineStr">
        <is>
          <t>没有取到可靠的社交提及量。</t>
        </is>
      </c>
      <c r="C8" s="65" t="inlineStr">
        <is>
          <t>待查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65" t="inlineStr">
        <is>
          <t>社交提及量待查。</t>
        </is>
      </c>
    </row>
    <row r="9" ht="36" customHeight="1" s="42">
      <c r="A9" s="9" t="inlineStr">
        <is>
          <t>卖方与资金</t>
        </is>
      </c>
      <c r="B9" s="65" t="inlineStr">
        <is>
          <t>一致预期EPS和目标价均值待查。复盘只转述财闻写的花旗H股目标价120港元，不把它当成一致预期。</t>
        </is>
      </c>
      <c r="C9" s="65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65" t="inlineStr">
        <is>
          <t>2026-09-30收盘复盘。卖方覆盖家数待查。</t>
        </is>
      </c>
    </row>
    <row r="10" ht="36" customHeight="1" s="42">
      <c r="A10" s="9" t="inlineStr">
        <is>
          <t>期权与波动</t>
        </is>
      </c>
      <c r="B10" s="65" t="inlineStr">
        <is>
          <t>A股和港股不用IV。9月30日复盘成交额6.55亿港元。近20个交易日用雅虎收盘价乘成交量，近似日均成交额192845880港元。</t>
        </is>
      </c>
      <c r="C10" s="65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65" t="inlineStr">
        <is>
          <t>成交额：复盘当日；日均：雅虎图表2026-09-30向前20个有成交的交易日。</t>
        </is>
      </c>
    </row>
    <row r="11"/>
    <row r="12" ht="22.05" customHeight="1" s="42">
      <c r="A12" s="64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65" t="inlineStr">
        <is>
          <t>是</t>
        </is>
      </c>
      <c r="D14" s="65" t="inlineStr">
        <is>
          <t>叙事一句：H股因创新药授权转述上涨。复盘没有把3亿美元首付款写成已经到账。</t>
        </is>
      </c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65" t="inlineStr">
        <is>
          <t>待查</t>
        </is>
      </c>
      <c r="D15" s="65" t="inlineStr">
        <is>
          <t>一致预期EPS待查。分歧不建立在没打开的卖方模型上。我的基准是不含这笔未核实首付款的10%盈利增长。</t>
        </is>
      </c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65" t="inlineStr">
        <is>
          <t>是</t>
        </is>
      </c>
      <c r="D16" s="65" t="inlineStr">
        <is>
          <t>复盘：收盘50.200港元，涨10.09%，成交额6.55亿港元，20日涨10.3%，没有进入20日涨幅不低于20%的表。恒指当天只涨0.37%。</t>
        </is>
      </c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65" t="inlineStr">
        <is>
          <t>是</t>
        </is>
      </c>
      <c r="D17" s="65" t="inlineStr">
        <is>
          <t>没有打开港交所南向个股表。复盘写南向资金全日净买入68.64亿港元，这是市场合计，不是恒瑞一只的持仓方向。</t>
        </is>
      </c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65" t="inlineStr">
        <is>
          <t>是</t>
        </is>
      </c>
      <c r="D18" s="65" t="inlineStr">
        <is>
          <t>港股用换手和成交代替期权。当日成交6.55亿港元，20日涨10.3%，不是无量冷门，也不是20日翻倍。</t>
        </is>
      </c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65" t="inlineStr">
        <is>
          <t>是</t>
        </is>
      </c>
      <c r="D19" s="65" t="inlineStr">
        <is>
          <t>市场已定价药品增长的一部分，以及一份尚未用公司公告核对的授权。我额外不押未到账的首付款。</t>
        </is>
      </c>
      <c r="E19" s="46" t="n"/>
      <c r="F19" s="47" t="n"/>
    </row>
    <row r="20" ht="22.05" customHeight="1" s="42">
      <c r="A20" s="9" t="inlineStr">
        <is>
          <t>市场已定价</t>
        </is>
      </c>
      <c r="B20" s="65" t="inlineStr">
        <is>
          <t>2025年收入增长13%、扣非增长20%，以及H股9月30日10%的上涨。静态市盈率约36倍。</t>
        </is>
      </c>
      <c r="C20" s="68" t="n"/>
      <c r="D20" s="68" t="n"/>
      <c r="E20" s="68" t="n"/>
      <c r="F20" s="69" t="n"/>
    </row>
    <row r="21" ht="22.05" customHeight="1" s="42">
      <c r="B21" s="70" t="n"/>
      <c r="C21" s="71" t="n"/>
      <c r="D21" s="71" t="n"/>
      <c r="E21" s="71" t="n"/>
      <c r="F21" s="72" t="n"/>
    </row>
    <row r="22" ht="22.05" customHeight="1" s="42">
      <c r="A22" s="9" t="inlineStr">
        <is>
          <t>我额外押的</t>
        </is>
      </c>
      <c r="B22" s="65" t="inlineStr">
        <is>
          <t>不下注26亿美元潜在总额。下注的是否定项：在公司文件写明现金之前，50.20港元没有相对基准价的安全垫。</t>
        </is>
      </c>
      <c r="C22" s="68" t="n"/>
      <c r="D22" s="68" t="n"/>
      <c r="E22" s="68" t="n"/>
      <c r="F22" s="69" t="n"/>
    </row>
    <row r="23" ht="22.05" customHeight="1" s="42">
      <c r="B23" s="70" t="n"/>
      <c r="C23" s="71" t="n"/>
      <c r="D23" s="71" t="n"/>
      <c r="E23" s="71" t="n"/>
      <c r="F23" s="72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6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4"/>
    <row r="5" ht="22.05" customHeight="1" s="42">
      <c r="A5" s="64" t="inlineStr">
        <is>
          <t>A. 仓位计算器</t>
        </is>
      </c>
    </row>
    <row r="6" ht="15" customHeight="1" s="42">
      <c r="A6" s="9" t="inlineStr">
        <is>
          <t>组合权益</t>
        </is>
      </c>
      <c r="B6" s="87" t="n">
        <v>1000000</v>
      </c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88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81" t="n">
        <v>0.39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7" t="n">
        <v>192845880</v>
      </c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81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1"/>
    <row r="12" ht="15" customHeight="1" s="42">
      <c r="A12" s="9" t="inlineStr">
        <is>
          <t>风险预算金额</t>
        </is>
      </c>
      <c r="B12" s="89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9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9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9">
        <f>IF(B13="",IF(B14="","",B14),IF(B14="",B13,MIN(B13,B14)))</f>
        <v/>
      </c>
      <c r="C15" s="75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80">
        <f>IF(OR(B15="",B6="",B6=0),"",B15/B6)</f>
        <v/>
      </c>
      <c r="C16" s="74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9">
        <f>IF(OR(B15="",封面!B9="",封面!B9=0),"",B15/封面!B9)</f>
        <v/>
      </c>
    </row>
    <row r="18"/>
    <row r="19" ht="22.05" customHeight="1" s="42">
      <c r="A19" s="64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65" t="inlineStr">
        <is>
          <t>2026年盈利停在2025年附近，倍数从约36倍压到更接近成熟制药的水平，价格回到熊市价一带。</t>
        </is>
      </c>
      <c r="C21" s="65" t="inlineStr">
        <is>
          <t>9月30日收盘50.20港元。2025年基本每股收益1.19元人民币。熊市价30.62港元。</t>
        </is>
      </c>
      <c r="D21" s="65" t="inlineStr">
        <is>
          <t>2026年扣非归母净利润。若低于2025年的74.13亿元，增长假设失效。</t>
        </is>
      </c>
      <c r="E21" s="65" t="inlineStr">
        <is>
          <t>不在50.20港元补仓。价格到基准价42.87港元以下才重新看。</t>
        </is>
      </c>
      <c r="F21" s="65" t="inlineStr">
        <is>
          <t>高</t>
        </is>
      </c>
    </row>
    <row r="22" ht="36" customHeight="1" s="42">
      <c r="A22" s="2" t="inlineStr">
        <is>
          <t>2</t>
        </is>
      </c>
      <c r="B22" s="65" t="inlineStr">
        <is>
          <t>把转述的授权当成已经收到的3亿美元，但下一份报表没有这笔现金，每股收益不被增厚。</t>
        </is>
      </c>
      <c r="C22" s="65" t="inlineStr">
        <is>
          <t>复盘：潜在总额最高26亿美元、含3亿美元首付款，两篇都是转述，没有打开公告PDF。要闻：不把更早的恒瑞许可计成9月30日新事件。</t>
        </is>
      </c>
      <c r="D22" s="65" t="inlineStr">
        <is>
          <t>公司公告或2026年中报有没有单列这笔首付款现金。</t>
        </is>
      </c>
      <c r="E22" s="65" t="inlineStr">
        <is>
          <t>文件仍未写明到账，就不把26亿美元写进盈利预测。</t>
        </is>
      </c>
      <c r="F22" s="65" t="inlineStr">
        <is>
          <t>高</t>
        </is>
      </c>
    </row>
    <row r="23" ht="36" customHeight="1" s="42">
      <c r="A23" s="2" t="inlineStr">
        <is>
          <t>3</t>
        </is>
      </c>
      <c r="B23" s="65" t="inlineStr">
        <is>
          <t>2025年经营现金流的跳升来自许可首付款，2026年如果没有新的许可现金，经营现金流回落。</t>
        </is>
      </c>
      <c r="C23" s="65" t="inlineStr">
        <is>
          <t>年报写2025年经营现金流同比增加51.36%，原因是对外许可首付款收到的现金增加。经营现金流112.35亿元，购建长期资产29.62亿元。</t>
        </is>
      </c>
      <c r="D23" s="65" t="inlineStr">
        <is>
          <t>2026年中报经营现金流里许可现金是否单列。</t>
        </is>
      </c>
      <c r="E23" s="65" t="inlineStr">
        <is>
          <t>若经营现金流掉到归母净利润以下，质量判断从通过改回观察。</t>
        </is>
      </c>
      <c r="F23" s="65" t="inlineStr">
        <is>
          <t>中</t>
        </is>
      </c>
    </row>
    <row r="24"/>
    <row r="25" ht="22.05" customHeight="1" s="42">
      <c r="A25" s="64" t="inlineStr">
        <is>
          <t>C. 交易预案</t>
        </is>
      </c>
    </row>
    <row r="26" ht="28.05" customHeight="1" s="42">
      <c r="A26" s="9" t="inlineStr">
        <is>
          <t>持有期</t>
        </is>
      </c>
      <c r="B26" s="65" t="inlineStr">
        <is>
          <t>12个月，看到HRS-1596授权有没有公司文件，以及2026年扣非净利润。</t>
        </is>
      </c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65" t="inlineStr">
        <is>
          <t>不在50.20港元买。建仓不高于基准价42.87港元，且授权现金已经在公司文件里单列，或者明确写明尚未收到。</t>
        </is>
      </c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65" t="inlineStr">
        <is>
          <t>基本面证伪：2026年扣非归母净利润低于74.13亿元。价格补充位是熊市价30.62港元，相对50.20港元的跌幅约0.3900。</t>
        </is>
      </c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65" t="inlineStr">
        <is>
          <t>涨到牛市价52.55港元而扣非净利润没有按18%增长，不是买入理由。论点证伪则放弃等待中的建仓条件。</t>
        </is>
      </c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65" t="inlineStr">
        <is>
          <t>下一份写明HRS-1596对价和到账情况的公司公告，以及2026年中报。在此之前不把盘中价写成收盘。</t>
        </is>
      </c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65" t="inlineStr">
        <is>
          <t>与创新药和对外许可重叠。A股600276是同一发行人，9月30日收盘47.20元。若组合里已有A股恒瑞，这只H股不另开一笔。</t>
        </is>
      </c>
      <c r="C31" s="46" t="n"/>
      <c r="D31" s="47" t="n"/>
      <c r="E31" s="45" t="inlineStr">
        <is>
          <t>行业 / 因子 / 单一客户</t>
        </is>
      </c>
      <c r="F31" s="47" t="n"/>
    </row>
    <row r="32"/>
    <row r="33" ht="22.05" customHeight="1" s="42">
      <c r="A33" s="64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65" t="inlineStr">
        <is>
          <t>是</t>
        </is>
      </c>
      <c r="C35" s="65" t="inlineStr">
        <is>
          <t>收入增长依赖药品销售和许可。2025年13%的收入增长不可外推成9月29日授权已经确认。</t>
        </is>
      </c>
      <c r="D35" s="45" t="inlineStr">
        <is>
          <t>销量/ASP、毛利率、份额</t>
        </is>
      </c>
      <c r="E35" s="45" t="inlineStr">
        <is>
          <t>论点伤了就减或清</t>
        </is>
      </c>
      <c r="F35" s="65" t="inlineStr">
        <is>
          <t>观察</t>
        </is>
      </c>
    </row>
    <row r="36" ht="26" customHeight="1" s="42">
      <c r="A36" s="9" t="inlineStr">
        <is>
          <t>财务</t>
        </is>
      </c>
      <c r="B36" s="65" t="inlineStr">
        <is>
          <t>否</t>
        </is>
      </c>
      <c r="C36" s="65" t="inlineStr">
        <is>
          <t>货币资金409.55亿元高于有息负债0.74亿元。利息费用0.14亿元。财务杠杆不是先绑仓位的那一条。</t>
        </is>
      </c>
      <c r="D36" s="45" t="inlineStr">
        <is>
          <t>净负债、利息覆盖、FCF</t>
        </is>
      </c>
      <c r="E36" s="45" t="inlineStr">
        <is>
          <t>杠杆高则硬性缩小仓</t>
        </is>
      </c>
      <c r="F36" s="65" t="inlineStr">
        <is>
          <t>观察</t>
        </is>
      </c>
    </row>
    <row r="37" ht="26" customHeight="1" s="42">
      <c r="A37" s="9" t="inlineStr">
        <is>
          <t>估值</t>
        </is>
      </c>
      <c r="B37" s="65" t="inlineStr">
        <is>
          <t>是</t>
        </is>
      </c>
      <c r="C37" s="65" t="inlineStr">
        <is>
          <t>H股静态市盈率36.07倍。概率加权价42.23港元，比现价低15.9%。</t>
        </is>
      </c>
      <c r="D37" s="45" t="inlineStr">
        <is>
          <t>PE 分位、久期、WACC</t>
        </is>
      </c>
      <c r="E37" s="45" t="inlineStr">
        <is>
          <t>贵的时候少配</t>
        </is>
      </c>
      <c r="F37" s="65" t="inlineStr">
        <is>
          <t>观察</t>
        </is>
      </c>
    </row>
    <row r="38" ht="26" customHeight="1" s="42">
      <c r="A38" s="9" t="inlineStr">
        <is>
          <t>市场</t>
        </is>
      </c>
      <c r="B38" s="65" t="inlineStr">
        <is>
          <t>是</t>
        </is>
      </c>
      <c r="C38" s="65" t="inlineStr">
        <is>
          <t>复盘写当日涨10.09%，20日涨10.3%。恒指只涨0.37%。波动用熊市跌幅定仓位，不用当日涨幅去加大仓位。</t>
        </is>
      </c>
      <c r="D38" s="45" t="inlineStr">
        <is>
          <t>Beta、波动、最大回撤</t>
        </is>
      </c>
      <c r="E38" s="45" t="inlineStr">
        <is>
          <t>按波动倒数仓位</t>
        </is>
      </c>
      <c r="F38" s="65" t="inlineStr">
        <is>
          <t>观察</t>
        </is>
      </c>
    </row>
    <row r="39" ht="26" customHeight="1" s="42">
      <c r="A39" s="9" t="inlineStr">
        <is>
          <t>流动性</t>
        </is>
      </c>
      <c r="B39" s="65" t="inlineStr">
        <is>
          <t>否</t>
        </is>
      </c>
      <c r="C39" s="65" t="inlineStr">
        <is>
          <t>近20个交易日近似日均成交额192845880港元。流动性上限约9642294港元，高于风险预算给出的12821港元，所以流动性不先绑住仓位。</t>
        </is>
      </c>
      <c r="D39" s="45" t="inlineStr">
        <is>
          <t>日均成交、价差</t>
        </is>
      </c>
      <c r="E39" s="45" t="inlineStr">
        <is>
          <t>限制绝对金额</t>
        </is>
      </c>
      <c r="F39" s="65" t="inlineStr">
        <is>
          <t>观察</t>
        </is>
      </c>
    </row>
    <row r="40" ht="26" customHeight="1" s="42">
      <c r="A40" s="9" t="inlineStr">
        <is>
          <t>治理/政策</t>
        </is>
      </c>
      <c r="B40" s="65" t="inlineStr">
        <is>
          <t>是</t>
        </is>
      </c>
      <c r="C40" s="65" t="inlineStr">
        <is>
          <t>授权条款尚未用公司PDF核对。2025年H股发行已经增加股本。监管或许可会计若把首付款递延，利润节奏会变。</t>
        </is>
      </c>
      <c r="D40" s="45" t="inlineStr">
        <is>
          <t>增发、关联交易、监管</t>
        </is>
      </c>
      <c r="E40" s="45" t="inlineStr">
        <is>
          <t>一票否决或观察仓</t>
        </is>
      </c>
      <c r="F40" s="65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6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4"/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6"/>
    <row r="7" ht="22.05" customHeight="1" s="42">
      <c r="A7" s="64" t="inlineStr">
        <is>
          <t>0. 执行摘要</t>
        </is>
      </c>
    </row>
    <row r="8" ht="32" customHeight="1" s="42">
      <c r="A8" s="65" t="inlineStr">
        <is>
          <t>① 内在价值：贵。概率加权价42.23港元，相对9月30日收盘50.20港元为-15.9%。基准价42.87港元。② 近月方向：偏多。复盘写当日涨10.09%，20日涨10.3%，恒指只涨0.37%。③ 动作：等待。区间：30.62 ~ 52.55 HKD。最大风险：把未打开公告的首付款写成已经到账的收入。云端无 Excel，汇总按模板公式计算。初筛闸门按公式为通过，五项都是「是」。F=4，评级中。分项[1, 1, 0, 1, 1, 0, 0, 0, 0]，其中ROA改善、流动比率、未增发、毛利率、周转为0，其余为1。Z=25.73，原版制造业，较安全。X1=0.6458，X2=0.6241，X3=0.1289，X4=38.68，X5=0.4527。X4高是因为净现金和股权市值，不是因为高杠杆。M=-2.83，未触发阈值。阈值是大于-1.78。仅供研究备忘，不构成投资建议。</t>
        </is>
      </c>
      <c r="B8" s="68" t="n"/>
      <c r="C8" s="68" t="n"/>
      <c r="D8" s="68" t="n"/>
      <c r="E8" s="68" t="n"/>
      <c r="F8" s="69" t="n"/>
    </row>
    <row r="9" ht="32" customHeight="1" s="42">
      <c r="A9" s="70" t="n"/>
      <c r="B9" s="71" t="n"/>
      <c r="C9" s="71" t="n"/>
      <c r="D9" s="71" t="n"/>
      <c r="E9" s="71" t="n"/>
      <c r="F9" s="72" t="n"/>
    </row>
    <row r="10" ht="22.05" customHeight="1" s="42">
      <c r="A10" s="64" t="inlineStr">
        <is>
          <t>1. 公司与商业模式</t>
        </is>
      </c>
    </row>
    <row r="11" ht="32" customHeight="1" s="42">
      <c r="A11" s="65" t="inlineStr">
        <is>
          <t>收入是药品销售和对外许可。2025年营业收入316.29亿元，营业成本43.63亿元，毛利272.67亿元，营业利润89.90亿元，归母净利润77.11亿元，扣非净利润74.13亿元，经营现金流112.35亿元，购建长期资产支付29.62亿元，自由现金流82.73亿元。来源：2025年年度报告。护城河在药品无形资产，东方财富ROIC 0.1285，没有证明高于资本成本。实控人孙飘扬，控股股东江苏恒瑞医药集团有限公司持股23.18%。近12个月大事是2025年报，以及9月30日复盘转述的9月29日HRS-1596授权。潜在总额最高26亿美元、含3亿美元首付款，两篇都是转述。早上要闻写明不把更早已经写入简报的恒瑞许可计成9月30日新事件。礼来retatrutide不是这只股票的在售增量。</t>
        </is>
      </c>
      <c r="B11" s="68" t="n"/>
      <c r="C11" s="68" t="n"/>
      <c r="D11" s="68" t="n"/>
      <c r="E11" s="68" t="n"/>
      <c r="F11" s="69" t="n"/>
    </row>
    <row r="12" ht="32" customHeight="1" s="42">
      <c r="A12" s="70" t="n"/>
      <c r="B12" s="71" t="n"/>
      <c r="C12" s="71" t="n"/>
      <c r="D12" s="71" t="n"/>
      <c r="E12" s="71" t="n"/>
      <c r="F12" s="72" t="n"/>
    </row>
    <row r="13" ht="22.05" customHeight="1" s="42">
      <c r="A13" s="64" t="inlineStr">
        <is>
          <t>2. 行业与竞争</t>
        </is>
      </c>
    </row>
    <row r="14" ht="32" customHeight="1" s="42">
      <c r="A14" s="65" t="inlineStr">
        <is>
          <t>周期位置：2025年收入增13%，9月30日H股涨10.09%，行业背景是港股创新药强于指数。恒指涨0.37%，恒生科技涨0.10%。份额没有新的审计数字。对标同行的倍数中位待查，不编造。会改变利润池的文件是HRS-1596授权，但复盘没有打开PDF，不能写成已经改变利润。A股医药生物行业涨2.73%是A股温度，不直接换成这只H股的订单。</t>
        </is>
      </c>
      <c r="B14" s="68" t="n"/>
      <c r="C14" s="68" t="n"/>
      <c r="D14" s="68" t="n"/>
      <c r="E14" s="68" t="n"/>
      <c r="F14" s="69" t="n"/>
    </row>
    <row r="15" ht="32" customHeight="1" s="42">
      <c r="A15" s="70" t="n"/>
      <c r="B15" s="71" t="n"/>
      <c r="C15" s="71" t="n"/>
      <c r="D15" s="71" t="n"/>
      <c r="E15" s="71" t="n"/>
      <c r="F15" s="72" t="n"/>
    </row>
    <row r="16" ht="22.05" customHeight="1" s="42">
      <c r="A16" s="64" t="inlineStr">
        <is>
          <t>3. 财务质量</t>
        </is>
      </c>
    </row>
    <row r="17" ht="32" customHeight="1" s="42">
      <c r="A17" s="65" t="inlineStr">
        <is>
          <t>2021至2025年收入259.06亿、212.75亿、228.20亿、279.85亿、316.29亿元。毛利率0.8556、0.8361、0.8455、0.8625、0.8621。扣非净利润42.01亿、34.10亿、41.41亿、61.78亿、74.13亿元。经营现金流42.19亿、12.65亿、76.44亿、74.23亿、112.35亿元。2023至2025年的收入、扣非和经营现金流与年报一致。2021至2022年取东方财富数据中心。可信度A：2025年报有巨潮PDF，公司负责人孙飘扬签字。现金转化2025年经营现金流除以归母净利润约1.46。许可首付款推高了现金流，应计为负并不等于产品回款同速增长。</t>
        </is>
      </c>
      <c r="B17" s="68" t="n"/>
      <c r="C17" s="68" t="n"/>
      <c r="D17" s="68" t="n"/>
      <c r="E17" s="68" t="n"/>
      <c r="F17" s="69" t="n"/>
    </row>
    <row r="18" ht="32" customHeight="1" s="42">
      <c r="A18" s="70" t="n"/>
      <c r="B18" s="71" t="n"/>
      <c r="C18" s="71" t="n"/>
      <c r="D18" s="71" t="n"/>
      <c r="E18" s="71" t="n"/>
      <c r="F18" s="72" t="n"/>
    </row>
    <row r="19" ht="22.05" customHeight="1" s="42">
      <c r="A19" s="64" t="inlineStr">
        <is>
          <t>4. 估值</t>
        </is>
      </c>
    </row>
    <row r="20" ht="32" customHeight="1" s="42">
      <c r="A20" s="65" t="inlineStr">
        <is>
          <t>相对：H股静态市盈率36.07倍，用50.20除以1.19元人民币对应的1.3918港元。市净率4.61倍。股权市值按A股6,379,002,274股乘9月30日收盘47.20元，加H股258,197,600股乘50.20港元再乘0.8550，合计312171百万元人民币。企业价值约271290百万元。EV/EBITDA 27.99倍，分母是营业利润加利息费用再加固定资产折旧，无形资产摊销待查。EV/Sales 8.58倍。自由现金流收益率0.0290。五年中位和同行中位待查。绝对：熊市1.3918港元乘以22倍等于30.62港元，概率0.25。基准1.5310港元乘以28倍等于42.87港元，概率0.50。牛市1.6423港元乘以32倍等于52.55港元，概率0.25。概率合计1。概率加权价42.23港元。花旗转述的120港元不进入这三个价格。</t>
        </is>
      </c>
      <c r="B20" s="68" t="n"/>
      <c r="C20" s="68" t="n"/>
      <c r="D20" s="68" t="n"/>
      <c r="E20" s="68" t="n"/>
      <c r="F20" s="69" t="n"/>
    </row>
    <row r="21" ht="32" customHeight="1" s="42">
      <c r="A21" s="70" t="n"/>
      <c r="B21" s="71" t="n"/>
      <c r="C21" s="71" t="n"/>
      <c r="D21" s="71" t="n"/>
      <c r="E21" s="71" t="n"/>
      <c r="F21" s="72" t="n"/>
    </row>
    <row r="22" ht="22.05" customHeight="1" s="42">
      <c r="A22" s="64" t="inlineStr">
        <is>
          <t>5. 情绪与预期差</t>
        </is>
      </c>
    </row>
    <row r="23" ht="32" customHeight="1" s="42">
      <c r="A23" s="65" t="inlineStr">
        <is>
          <t>叙事一句：H股上涨对得上授权转述，对不上已经到账的首付款。新闻叙事热，卖方一致预期待查，社交待查，成交中等。市场已定价2025年的增长和当天10%的涨幅。我额外不押未核实的26亿美元。复盘写收盘50.200港元、涨10.09%、成交额6.55亿港元、20日涨10.3%。自算H股静态市盈率约36倍。汇率0.8550来自雅虎HKDCNY=X 2026-09-30收盘，不用另一条不互为倒数的CNYHKD报价。</t>
        </is>
      </c>
      <c r="B23" s="68" t="n"/>
      <c r="C23" s="68" t="n"/>
      <c r="D23" s="68" t="n"/>
      <c r="E23" s="68" t="n"/>
      <c r="F23" s="69" t="n"/>
    </row>
    <row r="24" ht="32" customHeight="1" s="42">
      <c r="A24" s="70" t="n"/>
      <c r="B24" s="71" t="n"/>
      <c r="C24" s="71" t="n"/>
      <c r="D24" s="71" t="n"/>
      <c r="E24" s="71" t="n"/>
      <c r="F24" s="72" t="n"/>
    </row>
    <row r="25" ht="22.05" customHeight="1" s="42">
      <c r="A25" s="64" t="inlineStr">
        <is>
          <t>6. 催化剂（3–12 个月）</t>
        </is>
      </c>
    </row>
    <row r="26" ht="32" customHeight="1" s="42">
      <c r="A26" s="65" t="inlineStr">
        <is>
          <t>事件：公司公告单列HRS-1596的首付款是否到账；2026年中报的扣非净利润和经营现金流。若兑现，看现金是否单列、扣非是否仍高于74.13亿元。若不兑现，复盘列的转述仍然只是转述，不在50.20港元把潜在总额当成收入。</t>
        </is>
      </c>
      <c r="B26" s="68" t="n"/>
      <c r="C26" s="68" t="n"/>
      <c r="D26" s="68" t="n"/>
      <c r="E26" s="68" t="n"/>
      <c r="F26" s="69" t="n"/>
    </row>
    <row r="27" ht="32" customHeight="1" s="42">
      <c r="A27" s="70" t="n"/>
      <c r="B27" s="71" t="n"/>
      <c r="C27" s="71" t="n"/>
      <c r="D27" s="71" t="n"/>
      <c r="E27" s="71" t="n"/>
      <c r="F27" s="72" t="n"/>
    </row>
    <row r="28" ht="22.05" customHeight="1" s="42">
      <c r="A28" s="64" t="inlineStr">
        <is>
          <t>7. 风险与 Pre-mortem</t>
        </is>
      </c>
    </row>
    <row r="29" ht="32" customHeight="1" s="42">
      <c r="A29" s="65" t="inlineStr">
        <is>
          <t>一年后失败的三个原因。第一，盈利停在2025年附近而倍数压缩，价格靠近熊市价，这是攻击“现价合理”的一条，也是等待而不是买入的原因。第二，授权首付款没有到账，但价格已经按到账交易。第三，2025年经营现金流的跳升不可重复。监控是公司文件里的现金、2026年扣非净利润、经营现金流。</t>
        </is>
      </c>
      <c r="B29" s="68" t="n"/>
      <c r="C29" s="68" t="n"/>
      <c r="D29" s="68" t="n"/>
      <c r="E29" s="68" t="n"/>
      <c r="F29" s="69" t="n"/>
    </row>
    <row r="30" ht="32" customHeight="1" s="42">
      <c r="A30" s="70" t="n"/>
      <c r="B30" s="71" t="n"/>
      <c r="C30" s="71" t="n"/>
      <c r="D30" s="71" t="n"/>
      <c r="E30" s="71" t="n"/>
      <c r="F30" s="72" t="n"/>
    </row>
    <row r="31" ht="22.05" customHeight="1" s="42">
      <c r="A31" s="64" t="inlineStr">
        <is>
          <t>8. 动作与观察清单</t>
        </is>
      </c>
    </row>
    <row r="32" ht="32" customHeight="1" s="42">
      <c r="A32" s="65" t="inlineStr">
        <is>
          <t>仓位上限1.28%。假设组合权益100万港元，风险预算0.005，证伪跌幅0.3900。建议金额约12821港元，约255.4股。这是上限，不是现价买单。日均成交额192845880港元，流动性占用上限0.05，流动性金额大于风险预算金额，所以取风险预算这一侧。建仓区间：不高于42.87港元，且授权现金已经写进公司文件。证伪：2026年扣非净利润低于74.13亿元，或价格补充位30.62港元。下次复盘：授权公告或2026年中报。同一发行人的A股不重复开仓。仅供研究备忘，不构成投资建议。</t>
        </is>
      </c>
      <c r="B32" s="68" t="n"/>
      <c r="C32" s="68" t="n"/>
      <c r="D32" s="68" t="n"/>
      <c r="E32" s="68" t="n"/>
      <c r="F32" s="69" t="n"/>
    </row>
    <row r="33" ht="32" customHeight="1" s="42">
      <c r="A33" s="70" t="n"/>
      <c r="B33" s="71" t="n"/>
      <c r="C33" s="71" t="n"/>
      <c r="D33" s="71" t="n"/>
      <c r="E33" s="71" t="n"/>
      <c r="F33" s="72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6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3"/>
    <row r="4" ht="22.05" customHeight="1" s="42">
      <c r="A4" s="64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1"/>
    <row r="12" ht="22.05" customHeight="1" s="42">
      <c r="A12" s="64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7"/>
    <row r="18" ht="22.05" customHeight="1" s="42">
      <c r="A18" s="64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Stock Analysis Toolkit</dc:creator>
  <dc:title>个股分析工具箱</dc:title>
  <dcterms:created xsi:type="dcterms:W3CDTF">2026-08-26T04:21:23Z</dcterms:created>
  <dcterms:modified xsi:type="dcterms:W3CDTF">2026-09-30T19:15:25Z</dcterms:modified>
  <cp:lastModifiedBy>张哥</cp:lastModifiedBy>
</cp:coreProperties>
</file>