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145" yWindow="2145" windowWidth="17280" windowHeight="9983" tabRatio="600" firstSheet="0" activeTab="1" autoFilterDateGrouping="1"/>
  </bookViews>
  <sheets>
    <sheet name="使用说明" sheetId="1" state="visible" r:id="rId1"/>
    <sheet name="封面" sheetId="2" state="visible" r:id="rId2"/>
    <sheet name="初筛" sheetId="3" state="visible" r:id="rId3"/>
    <sheet name="财务" sheetId="4" state="visible" r:id="rId4"/>
    <sheet name="评分" sheetId="5" state="visible" r:id="rId5"/>
    <sheet name="估值" sheetId="6" state="visible" r:id="rId6"/>
    <sheet name="情绪" sheetId="7" state="visible" r:id="rId7"/>
    <sheet name="风险" sheetId="8" state="visible" r:id="rId8"/>
    <sheet name="备忘录" sheetId="9" state="visible" r:id="rId9"/>
    <sheet name="工具" sheetId="10" state="visible" r:id="rId10"/>
  </sheets>
  <definedNames>
    <definedName name="Price">封面!$B$9</definedName>
    <definedName name="Ticker">封面!$B$5</definedName>
  </definedNames>
  <calcPr calcId="181029" fullCalcOnLoad="1"/>
</workbook>
</file>

<file path=xl/styles.xml><?xml version="1.0" encoding="utf-8"?>
<styleSheet xmlns="http://schemas.openxmlformats.org/spreadsheetml/2006/main">
  <numFmts count="8">
    <numFmt numFmtId="164" formatCode="#,##0.00;\(#,##0.00\);\-"/>
    <numFmt numFmtId="165" formatCode="0.0%"/>
    <numFmt numFmtId="166" formatCode="#,##0;\(#,##0\);\-"/>
    <numFmt numFmtId="167" formatCode="0.00\x"/>
    <numFmt numFmtId="168" formatCode="0.000"/>
    <numFmt numFmtId="169" formatCode="0.0"/>
    <numFmt numFmtId="170" formatCode="yyyy-mm-dd"/>
    <numFmt numFmtId="171" formatCode="YYYY-MM-DD"/>
  </numFmts>
  <fonts count="12">
    <font>
      <name val="宋体"/>
      <family val="2"/>
      <color theme="1"/>
      <sz val="11"/>
      <scheme val="minor"/>
    </font>
    <font>
      <name val="Microsoft YaHei"/>
      <charset val="134"/>
      <family val="2"/>
      <b val="1"/>
      <color rgb="FFFFFFFF"/>
      <sz val="18"/>
    </font>
    <font>
      <name val="Microsoft YaHei"/>
      <charset val="134"/>
      <family val="2"/>
      <color rgb="FF666666"/>
      <sz val="9"/>
    </font>
    <font>
      <name val="Microsoft YaHei"/>
      <charset val="134"/>
      <family val="2"/>
      <b val="1"/>
      <color rgb="FFFFFFFF"/>
      <sz val="14"/>
    </font>
    <font>
      <name val="Microsoft YaHei"/>
      <charset val="134"/>
      <family val="2"/>
      <b val="1"/>
      <color rgb="FFFFFFFF"/>
      <sz val="10"/>
    </font>
    <font>
      <name val="Microsoft YaHei"/>
      <charset val="134"/>
      <family val="2"/>
      <b val="1"/>
      <color rgb="FF333333"/>
      <sz val="10"/>
    </font>
    <font>
      <name val="Microsoft YaHei"/>
      <charset val="134"/>
      <family val="2"/>
      <color rgb="FF333333"/>
      <sz val="10"/>
    </font>
    <font>
      <name val="Microsoft YaHei"/>
      <charset val="134"/>
      <family val="2"/>
      <color rgb="FF0000FF"/>
      <sz val="11"/>
    </font>
    <font>
      <name val="Microsoft YaHei"/>
      <charset val="134"/>
      <family val="2"/>
      <color rgb="FF008000"/>
      <sz val="11"/>
    </font>
    <font>
      <name val="Microsoft YaHei"/>
      <charset val="134"/>
      <family val="2"/>
      <b val="1"/>
      <color rgb="FF1F4E79"/>
      <sz val="12"/>
    </font>
    <font>
      <name val="Microsoft YaHei"/>
      <charset val="134"/>
      <family val="2"/>
      <color rgb="FF000000"/>
      <sz val="11"/>
    </font>
    <font>
      <name val="宋体"/>
      <charset val="134"/>
      <family val="3"/>
      <sz val="9"/>
      <scheme val="minor"/>
    </font>
  </fonts>
  <fills count="11">
    <fill>
      <patternFill/>
    </fill>
    <fill>
      <patternFill patternType="gray125"/>
    </fill>
    <fill>
      <patternFill patternType="solid">
        <fgColor rgb="FF1F4E79"/>
      </patternFill>
    </fill>
    <fill>
      <patternFill patternType="solid">
        <fgColor rgb="FFFCE4D6"/>
      </patternFill>
    </fill>
    <fill>
      <patternFill patternType="solid">
        <fgColor rgb="FF2E75B6"/>
      </patternFill>
    </fill>
    <fill>
      <patternFill patternType="solid">
        <fgColor rgb="FFD6E3F0"/>
      </patternFill>
    </fill>
    <fill>
      <patternFill patternType="solid">
        <fgColor rgb="FFFFFFFF"/>
      </patternFill>
    </fill>
    <fill>
      <patternFill patternType="solid">
        <fgColor rgb="FFF2F2F2"/>
      </patternFill>
    </fill>
    <fill>
      <patternFill patternType="solid">
        <fgColor rgb="FFFFF2CC"/>
      </patternFill>
    </fill>
    <fill>
      <patternFill patternType="solid">
        <fgColor rgb="FFE2EFDA"/>
      </patternFill>
    </fill>
    <fill>
      <patternFill patternType="solid">
        <fgColor rgb="FFF8CBAD"/>
      </patternFill>
    </fill>
  </fills>
  <borders count="11">
    <border>
      <left/>
      <right/>
      <top/>
      <bottom/>
      <diagonal/>
    </border>
    <border>
      <left style="thin">
        <color rgb="FFBDD7EE"/>
      </left>
      <right style="thin">
        <color rgb="FFBDD7EE"/>
      </right>
      <top style="thin">
        <color rgb="FFBDD7EE"/>
      </top>
      <bottom style="thin">
        <color rgb="FFBDD7EE"/>
      </bottom>
      <diagonal/>
    </border>
    <border>
      <left/>
      <right/>
      <top style="thin">
        <color rgb="FFBDD7EE"/>
      </top>
      <bottom style="thin">
        <color rgb="FFBDD7EE"/>
      </bottom>
      <diagonal/>
    </border>
    <border>
      <left/>
      <right style="thin">
        <color rgb="FFBDD7EE"/>
      </right>
      <top style="thin">
        <color rgb="FFBDD7EE"/>
      </top>
      <bottom style="thin">
        <color rgb="FFBDD7EE"/>
      </bottom>
      <diagonal/>
    </border>
    <border>
      <left/>
      <right/>
      <top style="thin">
        <color rgb="FFBDD7EE"/>
      </top>
      <bottom/>
      <diagonal/>
    </border>
    <border>
      <left/>
      <right style="thin">
        <color rgb="FFBDD7EE"/>
      </right>
      <top style="thin">
        <color rgb="FFBDD7EE"/>
      </top>
      <bottom/>
      <diagonal/>
    </border>
    <border>
      <left style="thin">
        <color rgb="FFBDD7EE"/>
      </left>
      <right/>
      <top/>
      <bottom/>
      <diagonal/>
    </border>
    <border>
      <left/>
      <right style="thin">
        <color rgb="FFBDD7EE"/>
      </right>
      <top/>
      <bottom/>
      <diagonal/>
    </border>
    <border>
      <left style="thin">
        <color rgb="FFBDD7EE"/>
      </left>
      <right/>
      <top/>
      <bottom style="thin">
        <color rgb="FFBDD7EE"/>
      </bottom>
      <diagonal/>
    </border>
    <border>
      <left/>
      <right/>
      <top/>
      <bottom style="thin">
        <color rgb="FFBDD7EE"/>
      </bottom>
      <diagonal/>
    </border>
    <border>
      <left/>
      <right style="thin">
        <color rgb="FFBDD7EE"/>
      </right>
      <top/>
      <bottom style="thin">
        <color rgb="FFBDD7EE"/>
      </bottom>
      <diagonal/>
    </border>
  </borders>
  <cellStyleXfs count="1">
    <xf numFmtId="0" fontId="0" fillId="0" borderId="0"/>
  </cellStyleXfs>
  <cellXfs count="87">
    <xf numFmtId="0" fontId="0" fillId="0" borderId="0" pivotButton="0" quotePrefix="0" xfId="0"/>
    <xf numFmtId="0" fontId="4" fillId="2"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6" fillId="6" borderId="1" applyAlignment="1" pivotButton="0" quotePrefix="0" xfId="0">
      <alignment horizontal="left" vertical="center" wrapText="1"/>
    </xf>
    <xf numFmtId="0" fontId="6" fillId="7" borderId="1" applyAlignment="1" pivotButton="0" quotePrefix="0" xfId="0">
      <alignment horizontal="left"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5" borderId="1" applyAlignment="1" pivotButton="0" quotePrefix="0" xfId="0">
      <alignment horizontal="center" vertical="center" wrapText="1"/>
    </xf>
    <xf numFmtId="0" fontId="5" fillId="7" borderId="1" applyAlignment="1" pivotButton="0" quotePrefix="0" xfId="0">
      <alignment horizontal="left" vertical="center" wrapText="1"/>
    </xf>
    <xf numFmtId="0" fontId="7" fillId="8" borderId="1" applyAlignment="1" pivotButton="0" quotePrefix="0" xfId="0">
      <alignment horizontal="center" vertical="center" wrapText="1"/>
    </xf>
    <xf numFmtId="0" fontId="2" fillId="5" borderId="1" applyAlignment="1" pivotButton="0" quotePrefix="0" xfId="0">
      <alignment horizontal="left" vertical="center" wrapText="1"/>
    </xf>
    <xf numFmtId="164" fontId="7" fillId="8" borderId="1" applyAlignment="1" pivotButton="0" quotePrefix="0" xfId="0">
      <alignment horizontal="center" vertical="center" wrapText="1"/>
    </xf>
    <xf numFmtId="0" fontId="7" fillId="8" borderId="1" applyAlignment="1" pivotButton="0" quotePrefix="0" xfId="0">
      <alignment horizontal="left" vertical="center" wrapText="1"/>
    </xf>
    <xf numFmtId="0" fontId="8" fillId="9" borderId="1" applyAlignment="1" pivotButton="0" quotePrefix="0" xfId="0">
      <alignment horizontal="center" vertical="center" wrapText="1"/>
    </xf>
    <xf numFmtId="1" fontId="8" fillId="9" borderId="1" applyAlignment="1" pivotButton="0" quotePrefix="0" xfId="0">
      <alignment horizontal="center" vertical="center" wrapText="1"/>
    </xf>
    <xf numFmtId="2" fontId="8" fillId="9" borderId="1" applyAlignment="1" pivotButton="0" quotePrefix="0" xfId="0">
      <alignment horizontal="center" vertical="center" wrapText="1"/>
    </xf>
    <xf numFmtId="164" fontId="8" fillId="9" borderId="1" applyAlignment="1" pivotButton="0" quotePrefix="0" xfId="0">
      <alignment horizontal="center" vertical="center" wrapText="1"/>
    </xf>
    <xf numFmtId="165" fontId="8" fillId="9" borderId="1" applyAlignment="1" pivotButton="0" quotePrefix="0" xfId="0">
      <alignment horizontal="center" vertical="center" wrapText="1"/>
    </xf>
    <xf numFmtId="166" fontId="8" fillId="9" borderId="1" applyAlignment="1" pivotButton="0" quotePrefix="0" xfId="0">
      <alignment horizontal="center" vertical="center" wrapText="1"/>
    </xf>
    <xf numFmtId="0" fontId="9" fillId="6" borderId="1" applyAlignment="1" pivotButton="0" quotePrefix="0" xfId="0">
      <alignment horizontal="left" vertical="center" wrapText="1"/>
    </xf>
    <xf numFmtId="0" fontId="2" fillId="9" borderId="1" applyAlignment="1" pivotButton="0" quotePrefix="0" xfId="0">
      <alignment horizontal="left" vertical="center" wrapText="1"/>
    </xf>
    <xf numFmtId="0" fontId="2" fillId="10" borderId="1" applyAlignment="1" pivotButton="0" quotePrefix="0" xfId="0">
      <alignment horizontal="left" vertical="center" wrapText="1"/>
    </xf>
    <xf numFmtId="1" fontId="10" fillId="9" borderId="1" applyAlignment="1" pivotButton="0" quotePrefix="0" xfId="0">
      <alignment horizontal="center" vertical="center" wrapText="1"/>
    </xf>
    <xf numFmtId="0" fontId="10" fillId="9" borderId="1" applyAlignment="1" pivotButton="0" quotePrefix="0" xfId="0">
      <alignment horizontal="center" vertical="center" wrapText="1"/>
    </xf>
    <xf numFmtId="49" fontId="7" fillId="8" borderId="1" applyAlignment="1" pivotButton="0" quotePrefix="0" xfId="0">
      <alignment horizontal="center" vertical="center" wrapText="1"/>
    </xf>
    <xf numFmtId="0" fontId="2" fillId="5" borderId="1" applyAlignment="1" pivotButton="0" quotePrefix="0" xfId="0">
      <alignment horizontal="center" vertical="center" wrapText="1"/>
    </xf>
    <xf numFmtId="165" fontId="10" fillId="9" borderId="1" applyAlignment="1" pivotButton="0" quotePrefix="0" xfId="0">
      <alignment horizontal="center" vertical="center" wrapText="1"/>
    </xf>
    <xf numFmtId="49" fontId="7" fillId="8" borderId="1" applyAlignment="1" pivotButton="0" quotePrefix="0" xfId="0">
      <alignment horizontal="left" vertical="center" wrapText="1"/>
    </xf>
    <xf numFmtId="165" fontId="7" fillId="8" borderId="1" applyAlignment="1" pivotButton="0" quotePrefix="0" xfId="0">
      <alignment horizontal="center" vertical="center" wrapText="1"/>
    </xf>
    <xf numFmtId="167" fontId="10" fillId="9" borderId="1" applyAlignment="1" pivotButton="0" quotePrefix="0" xfId="0">
      <alignment horizontal="center" vertical="center" wrapText="1"/>
    </xf>
    <xf numFmtId="164" fontId="10" fillId="9" borderId="1" applyAlignment="1" pivotButton="0" quotePrefix="0" xfId="0">
      <alignment horizontal="center" vertical="center" wrapText="1"/>
    </xf>
    <xf numFmtId="2" fontId="10" fillId="9" borderId="1" applyAlignment="1" pivotButton="0" quotePrefix="0" xfId="0">
      <alignment horizontal="center" vertical="center" wrapText="1"/>
    </xf>
    <xf numFmtId="168" fontId="10" fillId="9" borderId="1" applyAlignment="1" pivotButton="0" quotePrefix="0" xfId="0">
      <alignment horizontal="center" vertical="center" wrapText="1"/>
    </xf>
    <xf numFmtId="0" fontId="2" fillId="7" borderId="1" applyAlignment="1" pivotButton="0" quotePrefix="0" xfId="0">
      <alignment horizontal="left" vertical="center" wrapText="1"/>
    </xf>
    <xf numFmtId="2" fontId="7" fillId="8" borderId="1" applyAlignment="1" pivotButton="0" quotePrefix="0" xfId="0">
      <alignment horizontal="center" vertical="center" wrapText="1"/>
    </xf>
    <xf numFmtId="0" fontId="5" fillId="7" borderId="1" applyAlignment="1" pivotButton="0" quotePrefix="0" xfId="0">
      <alignment horizontal="center" vertical="center" wrapText="1"/>
    </xf>
    <xf numFmtId="169" fontId="7" fillId="8" borderId="1" applyAlignment="1" pivotButton="0" quotePrefix="0" xfId="0">
      <alignment horizontal="center" vertical="center" wrapText="1"/>
    </xf>
    <xf numFmtId="166" fontId="7" fillId="8" borderId="1" applyAlignment="1" pivotButton="0" quotePrefix="0" xfId="0">
      <alignment horizontal="center" vertical="center" wrapText="1"/>
    </xf>
    <xf numFmtId="10" fontId="7" fillId="8" borderId="1" applyAlignment="1" pivotButton="0" quotePrefix="0" xfId="0">
      <alignment horizontal="center" vertical="center" wrapText="1"/>
    </xf>
    <xf numFmtId="166" fontId="10" fillId="9" borderId="1" applyAlignment="1" pivotButton="0" quotePrefix="0" xfId="0">
      <alignment horizontal="center" vertical="center" wrapText="1"/>
    </xf>
    <xf numFmtId="0" fontId="7" fillId="8" borderId="1" applyAlignment="1" pivotButton="0" quotePrefix="0" xfId="0">
      <alignment horizontal="left" vertical="center" wrapText="1"/>
    </xf>
    <xf numFmtId="0" fontId="0" fillId="0" borderId="0" pivotButton="0" quotePrefix="0" xfId="0"/>
    <xf numFmtId="0" fontId="3" fillId="4" borderId="0" applyAlignment="1" pivotButton="0" quotePrefix="0" xfId="0">
      <alignment vertical="center" indent="1"/>
    </xf>
    <xf numFmtId="0" fontId="0" fillId="4" borderId="0" pivotButton="0" quotePrefix="0" xfId="0"/>
    <xf numFmtId="0" fontId="2" fillId="5" borderId="1" applyAlignment="1" pivotButton="0" quotePrefix="0" xfId="0">
      <alignment horizontal="left" vertical="center" wrapText="1"/>
    </xf>
    <xf numFmtId="0" fontId="0" fillId="0" borderId="2" pivotButton="0" quotePrefix="0" xfId="0"/>
    <xf numFmtId="0" fontId="0" fillId="0" borderId="3" pivotButton="0" quotePrefix="0" xfId="0"/>
    <xf numFmtId="0" fontId="7" fillId="8" borderId="1" applyAlignment="1" pivotButton="0" quotePrefix="0" xfId="0">
      <alignment horizontal="center" vertical="center" wrapText="1"/>
    </xf>
    <xf numFmtId="0" fontId="2" fillId="5" borderId="0" applyAlignment="1" pivotButton="0" quotePrefix="0" xfId="0">
      <alignment horizontal="left" vertical="center" wrapText="1"/>
    </xf>
    <xf numFmtId="0" fontId="0" fillId="5" borderId="0" applyAlignment="1" pivotButton="0" quotePrefix="0" xfId="0">
      <alignment horizontal="left" vertical="center" wrapText="1"/>
    </xf>
    <xf numFmtId="0" fontId="4" fillId="2" borderId="1" applyAlignment="1" pivotButton="0" quotePrefix="0" xfId="0">
      <alignment horizontal="center" vertical="center" wrapText="1"/>
    </xf>
    <xf numFmtId="164" fontId="7" fillId="8" borderId="1" applyAlignment="1" pivotButton="0" quotePrefix="0" xfId="0">
      <alignment horizontal="center" vertical="center" wrapText="1"/>
    </xf>
    <xf numFmtId="0" fontId="1" fillId="2" borderId="1" applyAlignment="1" pivotButton="0" quotePrefix="0" xfId="0">
      <alignment horizontal="left" vertical="center" indent="1"/>
    </xf>
    <xf numFmtId="0" fontId="0" fillId="2" borderId="1" pivotButton="0" quotePrefix="0" xfId="0"/>
    <xf numFmtId="0" fontId="6" fillId="6" borderId="1" applyAlignment="1" pivotButton="0" quotePrefix="0" xfId="0">
      <alignment horizontal="left" vertical="center" wrapText="1"/>
    </xf>
    <xf numFmtId="0" fontId="2" fillId="3" borderId="0" applyAlignment="1" pivotButton="0" quotePrefix="0" xfId="0">
      <alignment horizontal="left" vertical="center" wrapText="1"/>
    </xf>
    <xf numFmtId="0" fontId="0" fillId="3" borderId="0" applyAlignment="1" pivotButton="0" quotePrefix="0" xfId="0">
      <alignment horizontal="left" vertical="center" wrapText="1"/>
    </xf>
    <xf numFmtId="0" fontId="8" fillId="9" borderId="1" applyAlignment="1" pivotButton="0" quotePrefix="0" xfId="0">
      <alignment horizontal="center" vertical="center" wrapText="1"/>
    </xf>
    <xf numFmtId="0" fontId="0" fillId="8" borderId="1" pivotButton="0" quotePrefix="0" xfId="0"/>
    <xf numFmtId="0" fontId="2" fillId="10" borderId="1" applyAlignment="1" pivotButton="0" quotePrefix="0" xfId="0">
      <alignment horizontal="left" vertical="center" wrapText="1"/>
    </xf>
    <xf numFmtId="0" fontId="0" fillId="8" borderId="1" applyAlignment="1" pivotButton="0" quotePrefix="0" xfId="0">
      <alignment horizontal="left" vertical="center" wrapText="1"/>
    </xf>
    <xf numFmtId="0" fontId="6" fillId="7" borderId="1" applyAlignment="1" pivotButton="0" quotePrefix="0" xfId="0">
      <alignment horizontal="left" vertical="center" wrapText="1"/>
    </xf>
    <xf numFmtId="0" fontId="1" fillId="2" borderId="1" applyAlignment="1" pivotButton="0" quotePrefix="0" xfId="0">
      <alignment vertical="top" wrapText="1"/>
    </xf>
    <xf numFmtId="0" fontId="3" fillId="4" borderId="0" applyAlignment="1" pivotButton="0" quotePrefix="0" xfId="0">
      <alignment vertical="top" wrapText="1"/>
    </xf>
    <xf numFmtId="0" fontId="7" fillId="8" borderId="1" applyAlignment="1" pivotButton="0" quotePrefix="0" xfId="0">
      <alignment vertical="top" wrapText="1"/>
    </xf>
    <xf numFmtId="171" fontId="7" fillId="8" borderId="1" applyAlignment="1" pivotButton="0" quotePrefix="0" xfId="0">
      <alignment vertical="top" wrapText="1"/>
    </xf>
    <xf numFmtId="2" fontId="7" fillId="8" borderId="1" applyAlignment="1" pivotButton="0" quotePrefix="0" xfId="0">
      <alignment vertical="top" wrapText="1"/>
    </xf>
    <xf numFmtId="0" fontId="0" fillId="0" borderId="4" pivotButton="0" quotePrefix="0" xfId="0"/>
    <xf numFmtId="0" fontId="0" fillId="0" borderId="5" pivotButton="0" quotePrefix="0" xfId="0"/>
    <xf numFmtId="0" fontId="0" fillId="0" borderId="8" pivotButton="0" quotePrefix="0" xfId="0"/>
    <xf numFmtId="0" fontId="0" fillId="0" borderId="9" pivotButton="0" quotePrefix="0" xfId="0"/>
    <xf numFmtId="0" fontId="0" fillId="0" borderId="10" pivotButton="0" quotePrefix="0" xfId="0"/>
    <xf numFmtId="164" fontId="8" fillId="9" borderId="1" applyAlignment="1" pivotButton="0" quotePrefix="0" xfId="0">
      <alignment horizontal="center" vertical="center" wrapText="1"/>
    </xf>
    <xf numFmtId="165" fontId="8" fillId="9" borderId="1" applyAlignment="1" pivotButton="0" quotePrefix="0" xfId="0">
      <alignment horizontal="center" vertical="center" wrapText="1"/>
    </xf>
    <xf numFmtId="166" fontId="8" fillId="9" borderId="1" applyAlignment="1" pivotButton="0" quotePrefix="0" xfId="0">
      <alignment horizontal="center" vertical="center" wrapText="1"/>
    </xf>
    <xf numFmtId="0" fontId="0" fillId="0" borderId="6" pivotButton="0" quotePrefix="0" xfId="0"/>
    <xf numFmtId="0" fontId="0" fillId="0" borderId="7" pivotButton="0" quotePrefix="0" xfId="0"/>
    <xf numFmtId="164" fontId="7" fillId="8" borderId="1" applyAlignment="1" pivotButton="0" quotePrefix="0" xfId="0">
      <alignment horizontal="center" vertical="center" wrapText="1"/>
    </xf>
    <xf numFmtId="165" fontId="10" fillId="9" borderId="1" applyAlignment="1" pivotButton="0" quotePrefix="0" xfId="0">
      <alignment horizontal="center" vertical="center" wrapText="1"/>
    </xf>
    <xf numFmtId="165" fontId="7" fillId="8" borderId="1" applyAlignment="1" pivotButton="0" quotePrefix="0" xfId="0">
      <alignment horizontal="center" vertical="center" wrapText="1"/>
    </xf>
    <xf numFmtId="167" fontId="10" fillId="9" borderId="1" applyAlignment="1" pivotButton="0" quotePrefix="0" xfId="0">
      <alignment horizontal="center" vertical="center" wrapText="1"/>
    </xf>
    <xf numFmtId="164" fontId="10" fillId="9" borderId="1" applyAlignment="1" pivotButton="0" quotePrefix="0" xfId="0">
      <alignment horizontal="center" vertical="center" wrapText="1"/>
    </xf>
    <xf numFmtId="168" fontId="10" fillId="9" borderId="1" applyAlignment="1" pivotButton="0" quotePrefix="0" xfId="0">
      <alignment horizontal="center" vertical="center" wrapText="1"/>
    </xf>
    <xf numFmtId="169" fontId="7" fillId="8" borderId="1" applyAlignment="1" pivotButton="0" quotePrefix="0" xfId="0">
      <alignment horizontal="center" vertical="center" wrapText="1"/>
    </xf>
    <xf numFmtId="166" fontId="7" fillId="8" borderId="1" applyAlignment="1" pivotButton="0" quotePrefix="0" xfId="0">
      <alignment horizontal="center" vertical="center" wrapText="1"/>
    </xf>
    <xf numFmtId="166" fontId="10" fillId="9" borderId="1" applyAlignment="1" pivotButton="0" quotePrefix="0" xfId="0">
      <alignment horizontal="center" vertical="center"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模板</author>
  </authors>
  <commentList>
    <comment ref="B5" authorId="0" shapeId="0">
      <text>
        <t>港股带后缀，如 0992.HK；A 股 6 位代码；美股代码。</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808080"/>
    <outlinePr summaryBelow="1" summaryRight="1"/>
    <pageSetUpPr fitToPage="1"/>
  </sheetPr>
  <dimension ref="A1:F28"/>
  <sheetViews>
    <sheetView showGridLines="0" workbookViewId="0">
      <pane ySplit="1" topLeftCell="A2" activePane="bottomLeft" state="frozen"/>
      <selection pane="bottomLeft" activeCell="A1" sqref="A1"/>
    </sheetView>
  </sheetViews>
  <sheetFormatPr baseColWidth="8" defaultRowHeight="13.5"/>
  <cols>
    <col width="18" customWidth="1" style="42" min="1" max="1"/>
    <col width="28" customWidth="1" style="42" min="2" max="2"/>
    <col width="36" customWidth="1" style="42" min="3" max="4"/>
    <col width="28" customWidth="1" style="42" min="5" max="5"/>
    <col width="22" customWidth="1" style="42" min="6" max="6"/>
  </cols>
  <sheetData>
    <row r="1" ht="28.05" customHeight="1" s="42">
      <c r="A1" s="63" t="inlineStr">
        <is>
          <t>个股分析工具箱  ·  固定模板（Windows 可直接打开）</t>
        </is>
      </c>
      <c r="B1" s="46" t="n"/>
      <c r="C1" s="46" t="n"/>
      <c r="D1" s="46" t="n"/>
      <c r="E1" s="46" t="n"/>
      <c r="F1" s="47" t="n"/>
    </row>
    <row r="2" ht="36" customHeight="1" s="42">
      <c r="A2" s="56" t="inlineStr">
        <is>
          <t>用法：复制本文件并改名为「代码-日期.xlsx」，只改黄色格子（蓝字）。黑字/绿底是公式，绿字引用其他表。不要在母版上填数。打开后若公式显示 0，按 F9 或启用编辑。仅供研究，不构成投资建议。</t>
        </is>
      </c>
    </row>
    <row r="3"/>
    <row r="4" ht="22.05" customHeight="1" s="42">
      <c r="A4" s="64" t="inlineStr">
        <is>
          <t>每次怎么用（不用安装、不用联网配置）</t>
        </is>
      </c>
    </row>
    <row r="5" ht="22.05" customHeight="1" s="42">
      <c r="A5" s="51" t="inlineStr">
        <is>
          <t>步</t>
        </is>
      </c>
      <c r="B5" s="51" t="inlineStr">
        <is>
          <t>动作</t>
        </is>
      </c>
      <c r="C5" s="51" t="inlineStr">
        <is>
          <t>说明</t>
        </is>
      </c>
      <c r="D5" s="46" t="n"/>
      <c r="E5" s="46" t="n"/>
      <c r="F5" s="47" t="n"/>
    </row>
    <row r="6" ht="40.05" customHeight="1" s="42">
      <c r="A6" s="2" t="inlineStr">
        <is>
          <t>1</t>
        </is>
      </c>
      <c r="B6" s="3" t="inlineStr">
        <is>
          <t>复制本文件</t>
        </is>
      </c>
      <c r="C6" s="55" t="inlineStr">
        <is>
          <t>在 Windows 上用 Excel 或 WPS 打开。每分析一只股票，先复制一份，改成例如 0992.HK-20260826.xlsx。</t>
        </is>
      </c>
      <c r="D6" s="46" t="n"/>
      <c r="E6" s="46" t="n"/>
      <c r="F6" s="47" t="n"/>
    </row>
    <row r="7" ht="40.05" customHeight="1" s="42">
      <c r="A7" s="2" t="inlineStr">
        <is>
          <t>2</t>
        </is>
      </c>
      <c r="B7" s="3" t="inlineStr">
        <is>
          <t>只填封面</t>
        </is>
      </c>
      <c r="C7" s="55" t="inlineStr">
        <is>
          <t>在「封面」填代码、市场、现价、一句话论点。其余表会自动带上代码。</t>
        </is>
      </c>
      <c r="D7" s="46" t="n"/>
      <c r="E7" s="46" t="n"/>
      <c r="F7" s="47" t="n"/>
    </row>
    <row r="8" ht="40.05" customHeight="1" s="42">
      <c r="A8" s="2" t="inlineStr">
        <is>
          <t>3</t>
        </is>
      </c>
      <c r="B8" s="3" t="inlineStr">
        <is>
          <t>按顺序往右填</t>
        </is>
      </c>
      <c r="C8" s="55" t="inlineStr">
        <is>
          <t>初筛 → 财务 → 评分 → 估值 → 情绪 → 风险 → 备忘录。初筛不过关就停，不要建模型。</t>
        </is>
      </c>
      <c r="D8" s="46" t="n"/>
      <c r="E8" s="46" t="n"/>
      <c r="F8" s="47" t="n"/>
    </row>
    <row r="9" ht="40.05" customHeight="1" s="42">
      <c r="A9" s="2" t="inlineStr">
        <is>
          <t>4</t>
        </is>
      </c>
      <c r="B9" s="3" t="inlineStr">
        <is>
          <t>看封面结论</t>
        </is>
      </c>
      <c r="C9" s="55" t="inlineStr">
        <is>
          <t>封面会汇总：初筛闸门、F/Z/M 分数、估值区间、建议仓位。备忘录用于写成文。</t>
        </is>
      </c>
      <c r="D9" s="46" t="n"/>
      <c r="E9" s="46" t="n"/>
      <c r="F9" s="47" t="n"/>
    </row>
    <row r="10"/>
    <row r="11" ht="22.05" customHeight="1" s="42">
      <c r="A11" s="64" t="inlineStr">
        <is>
          <t>四层分析顺序（不要打乱）</t>
        </is>
      </c>
    </row>
    <row r="12" ht="22.05" customHeight="1" s="42">
      <c r="A12" s="51" t="inlineStr">
        <is>
          <t>层</t>
        </is>
      </c>
      <c r="B12" s="51" t="inlineStr">
        <is>
          <t>要回答的问题</t>
        </is>
      </c>
      <c r="C12" s="51" t="inlineStr">
        <is>
          <t>产出</t>
        </is>
      </c>
      <c r="D12" s="51" t="inlineStr">
        <is>
          <t>停手条件</t>
        </is>
      </c>
      <c r="E12" s="51" t="inlineStr">
        <is>
          <t>大约耗时</t>
        </is>
      </c>
      <c r="F12" s="51" t="inlineStr">
        <is>
          <t>对应工作表</t>
        </is>
      </c>
    </row>
    <row r="13" ht="42" customHeight="1" s="42">
      <c r="A13" s="55" t="inlineStr">
        <is>
          <t>1 初筛</t>
        </is>
      </c>
      <c r="B13" s="55" t="inlineStr">
        <is>
          <t>这家公司靠什么赚钱？两句话能否说清？</t>
        </is>
      </c>
      <c r="C13" s="55" t="inlineStr">
        <is>
          <t>通过 / 排除 / 待完成</t>
        </is>
      </c>
      <c r="D13" s="55" t="inlineStr">
        <is>
          <t>说不清模式，或经营现金流连续为负</t>
        </is>
      </c>
      <c r="E13" s="55" t="inlineStr">
        <is>
          <t>15 分钟</t>
        </is>
      </c>
      <c r="F13" s="55" t="inlineStr">
        <is>
          <t>初筛</t>
        </is>
      </c>
    </row>
    <row r="14" ht="42" customHeight="1" s="42">
      <c r="A14" s="62" t="inlineStr">
        <is>
          <t>2 基本面</t>
        </is>
      </c>
      <c r="B14" s="62" t="inlineStr">
        <is>
          <t>增长有没有现金？护城河有没有回报率？</t>
        </is>
      </c>
      <c r="C14" s="62" t="inlineStr">
        <is>
          <t>质量评级 + 估值区间</t>
        </is>
      </c>
      <c r="D14" s="62" t="inlineStr">
        <is>
          <t>关键数字对不上年报</t>
        </is>
      </c>
      <c r="E14" s="62" t="inlineStr">
        <is>
          <t>1–2 小时</t>
        </is>
      </c>
      <c r="F14" s="62" t="inlineStr">
        <is>
          <t>财务 / 评分 / 估值</t>
        </is>
      </c>
    </row>
    <row r="15" ht="42" customHeight="1" s="42">
      <c r="A15" s="55" t="inlineStr">
        <is>
          <t>3 情绪</t>
        </is>
      </c>
      <c r="B15" s="55" t="inlineStr">
        <is>
          <t>现价已经定价了什么？拥挤还是冷清？</t>
        </is>
      </c>
      <c r="C15" s="55" t="inlineStr">
        <is>
          <t>预期差方向</t>
        </is>
      </c>
      <c r="D15" s="55" t="inlineStr">
        <is>
          <t>只有热度没有分歧点</t>
        </is>
      </c>
      <c r="E15" s="55" t="inlineStr">
        <is>
          <t>30–60 分钟</t>
        </is>
      </c>
      <c r="F15" s="55" t="inlineStr">
        <is>
          <t>情绪</t>
        </is>
      </c>
    </row>
    <row r="16" ht="42" customHeight="1" s="42">
      <c r="A16" s="62" t="inlineStr">
        <is>
          <t>4 风险</t>
        </is>
      </c>
      <c r="B16" s="62" t="inlineStr">
        <is>
          <t>什么信号出现就认错？亏多少能睡得着？</t>
        </is>
      </c>
      <c r="C16" s="62" t="inlineStr">
        <is>
          <t>证伪条件 + 仓位上限</t>
        </is>
      </c>
      <c r="D16" s="62" t="inlineStr">
        <is>
          <t>找不到可观察的证伪条件</t>
        </is>
      </c>
      <c r="E16" s="62" t="inlineStr">
        <is>
          <t>20–40 分钟</t>
        </is>
      </c>
      <c r="F16" s="62" t="inlineStr">
        <is>
          <t>风险 / 备忘录</t>
        </is>
      </c>
    </row>
    <row r="17"/>
    <row r="18" ht="22.05" customHeight="1" s="42">
      <c r="A18" s="64" t="inlineStr">
        <is>
          <t>格子颜色</t>
        </is>
      </c>
    </row>
    <row r="19" ht="22.05" customHeight="1" s="42">
      <c r="A19" s="51" t="inlineStr">
        <is>
          <t>颜色</t>
        </is>
      </c>
      <c r="B19" s="51" t="inlineStr">
        <is>
          <t>含义</t>
        </is>
      </c>
      <c r="C19" s="51" t="inlineStr">
        <is>
          <t>你要做什么</t>
        </is>
      </c>
      <c r="D19" s="46" t="n"/>
      <c r="E19" s="46" t="n"/>
      <c r="F19" s="47" t="n"/>
    </row>
    <row r="20" ht="14.65" customHeight="1" s="42">
      <c r="A20" s="6" t="n"/>
      <c r="B20" s="3" t="inlineStr">
        <is>
          <t>黄底蓝字</t>
        </is>
      </c>
      <c r="C20" s="55" t="inlineStr">
        <is>
          <t>输入：价格、财务数字、是/否、情景假设、文字判断</t>
        </is>
      </c>
      <c r="D20" s="46" t="n"/>
      <c r="E20" s="46" t="n"/>
      <c r="F20" s="47" t="n"/>
    </row>
    <row r="21" ht="14.65" customHeight="1" s="42">
      <c r="A21" s="7" t="n"/>
      <c r="B21" s="3" t="inlineStr">
        <is>
          <t>绿底黑/绿字</t>
        </is>
      </c>
      <c r="C21" s="55" t="inlineStr">
        <is>
          <t>公式或跨表引用：不要改。改输入后这里会变。</t>
        </is>
      </c>
      <c r="D21" s="46" t="n"/>
      <c r="E21" s="46" t="n"/>
      <c r="F21" s="47" t="n"/>
    </row>
    <row r="22" ht="14.65" customHeight="1" s="42">
      <c r="A22" s="8" t="n"/>
      <c r="B22" s="3" t="inlineStr">
        <is>
          <t>浅蓝底</t>
        </is>
      </c>
      <c r="C22" s="55" t="inlineStr">
        <is>
          <t>说明和提示，不用填。</t>
        </is>
      </c>
      <c r="D22" s="46" t="n"/>
      <c r="E22" s="46" t="n"/>
      <c r="F22" s="47" t="n"/>
    </row>
    <row r="23"/>
    <row r="24" ht="22.05" customHeight="1" s="42">
      <c r="A24" s="64" t="inlineStr">
        <is>
          <t>原则</t>
        </is>
      </c>
    </row>
    <row r="25" ht="32" customHeight="1" s="42">
      <c r="A25" s="55" t="inlineStr">
        <is>
          <t>· 先质量、再估值、再读预期差、最后用风险定仓位。不要把基本面、情绪、技术面合成一个分数。</t>
        </is>
      </c>
      <c r="B25" s="46" t="n"/>
      <c r="C25" s="46" t="n"/>
      <c r="D25" s="46" t="n"/>
      <c r="E25" s="46" t="n"/>
      <c r="F25" s="47" t="n"/>
    </row>
    <row r="26" ht="32" customHeight="1" s="42">
      <c r="A26" s="55" t="inlineStr">
        <is>
          <t>· 事实带来源（年报页码、交易所公告、数据商），判断写假设。结论必须可证伪。</t>
        </is>
      </c>
      <c r="B26" s="46" t="n"/>
      <c r="C26" s="46" t="n"/>
      <c r="D26" s="46" t="n"/>
      <c r="E26" s="46" t="n"/>
      <c r="F26" s="47" t="n"/>
    </row>
    <row r="27" ht="32" customHeight="1" s="42">
      <c r="A27" s="55" t="inlineStr">
        <is>
          <t>· 估值给 Bull / Base / Bear 区间，不给神预测。情绪只修正时机和仓位，不单独产生买点。</t>
        </is>
      </c>
      <c r="B27" s="46" t="n"/>
      <c r="C27" s="46" t="n"/>
      <c r="D27" s="46" t="n"/>
      <c r="E27" s="46" t="n"/>
      <c r="F27" s="47" t="n"/>
    </row>
    <row r="28" ht="32" customHeight="1" s="42">
      <c r="A28" s="55" t="inlineStr">
        <is>
          <t>· 仓位由波动和流动性决定，不由信念强度决定。初筛排除的票，后面表可以不填。</t>
        </is>
      </c>
      <c r="B28" s="46" t="n"/>
      <c r="C28" s="46" t="n"/>
      <c r="D28" s="46" t="n"/>
      <c r="E28" s="46" t="n"/>
      <c r="F28" s="47" t="n"/>
    </row>
  </sheetData>
  <mergeCells count="19">
    <mergeCell ref="C8:F8"/>
    <mergeCell ref="A27:F27"/>
    <mergeCell ref="C7:F7"/>
    <mergeCell ref="A18:F18"/>
    <mergeCell ref="A26:F26"/>
    <mergeCell ref="C19:F19"/>
    <mergeCell ref="A2:F2"/>
    <mergeCell ref="C6:F6"/>
    <mergeCell ref="A4:F4"/>
    <mergeCell ref="C5:F5"/>
    <mergeCell ref="A28:F28"/>
    <mergeCell ref="C20:F20"/>
    <mergeCell ref="C22:F22"/>
    <mergeCell ref="A24:F24"/>
    <mergeCell ref="C9:F9"/>
    <mergeCell ref="A11:F11"/>
    <mergeCell ref="A1:F1"/>
    <mergeCell ref="C21:F21"/>
    <mergeCell ref="A25:F25"/>
  </mergeCells>
  <printOptions horizontalCentered="1"/>
  <pageMargins left="0.5" right="0.5" top="0.6" bottom="0.6" header="0.5" footer="0.5"/>
  <pageSetup orientation="portrait" paperSize="9" fitToHeight="0"/>
</worksheet>
</file>

<file path=xl/worksheets/sheet2.xml><?xml version="1.0" encoding="utf-8"?>
<worksheet xmlns="http://schemas.openxmlformats.org/spreadsheetml/2006/main">
  <sheetPr>
    <tabColor rgb="FF1F4E79"/>
    <outlinePr summaryBelow="1" summaryRight="1"/>
    <pageSetUpPr fitToPage="1"/>
  </sheetPr>
  <dimension ref="A1:F37"/>
  <sheetViews>
    <sheetView showGridLines="0" tabSelected="1" workbookViewId="0">
      <pane ySplit="1" topLeftCell="A2" activePane="bottomLeft" state="frozen"/>
      <selection pane="bottomLeft" activeCell="A1" sqref="A1:F1"/>
    </sheetView>
  </sheetViews>
  <sheetFormatPr baseColWidth="8" defaultRowHeight="13.5"/>
  <cols>
    <col width="20" customWidth="1" style="42" min="1" max="1"/>
    <col width="16" customWidth="1" style="42" min="2" max="2"/>
    <col width="28" customWidth="1" style="42" min="3" max="3"/>
    <col width="16" customWidth="1" style="42" min="4" max="4"/>
    <col width="22" customWidth="1" style="42" min="5" max="5"/>
    <col width="28" customWidth="1" style="42" min="6" max="6"/>
  </cols>
  <sheetData>
    <row r="1" ht="28.05" customHeight="1" s="42">
      <c r="A1" s="63" t="inlineStr">
        <is>
          <t>封面结论  ·  每只股票从这里开始</t>
        </is>
      </c>
      <c r="B1" s="46" t="n"/>
      <c r="C1" s="46" t="n"/>
      <c r="D1" s="46" t="n"/>
      <c r="E1" s="46" t="n"/>
      <c r="F1" s="47" t="n"/>
    </row>
    <row r="2" ht="36" customHeight="1" s="42">
      <c r="A2" s="49" t="inlineStr">
        <is>
          <t>黄色格子必填。下面「自动汇总」会从其他表取数，请先填初筛/评分/估值/风险。决策三分法允许三者不一致。</t>
        </is>
      </c>
    </row>
    <row r="3"/>
    <row r="4" ht="22.05" customHeight="1" s="42">
      <c r="A4" s="64" t="inlineStr">
        <is>
          <t>标的</t>
        </is>
      </c>
    </row>
    <row r="5" ht="22.05" customHeight="1" s="42">
      <c r="A5" s="9" t="inlineStr">
        <is>
          <t>股票代码</t>
        </is>
      </c>
      <c r="B5" s="65" t="inlineStr">
        <is>
          <t>603127</t>
        </is>
      </c>
      <c r="C5" s="47" t="n"/>
      <c r="D5" s="45" t="inlineStr">
        <is>
          <t>例如 0992.HK / 600519 / NVDA</t>
        </is>
      </c>
      <c r="E5" s="46" t="n"/>
      <c r="F5" s="47" t="n"/>
    </row>
    <row r="6" ht="22.05" customHeight="1" s="42">
      <c r="A6" s="9" t="inlineStr">
        <is>
          <t>公司名称</t>
        </is>
      </c>
      <c r="B6" s="65" t="inlineStr">
        <is>
          <t>昭衍新药</t>
        </is>
      </c>
      <c r="C6" s="47" t="n"/>
      <c r="D6" s="45" t="n"/>
      <c r="E6" s="46" t="n"/>
      <c r="F6" s="47" t="n"/>
    </row>
    <row r="7" ht="22.05" customHeight="1" s="42">
      <c r="A7" s="9" t="inlineStr">
        <is>
          <t>市场</t>
        </is>
      </c>
      <c r="B7" s="65" t="inlineStr">
        <is>
          <t>A股</t>
        </is>
      </c>
      <c r="C7" s="47" t="n"/>
      <c r="D7" s="45" t="inlineStr">
        <is>
          <t>A股 / 港股 / 美股</t>
        </is>
      </c>
      <c r="E7" s="46" t="n"/>
      <c r="F7" s="47" t="n"/>
    </row>
    <row r="8" ht="22.05" customHeight="1" s="42">
      <c r="A8" s="9" t="inlineStr">
        <is>
          <t>分析日期</t>
        </is>
      </c>
      <c r="B8" s="66" t="n">
        <v>46295</v>
      </c>
      <c r="C8" s="47" t="n"/>
      <c r="D8" s="45" t="inlineStr">
        <is>
          <t>YYYY-MM-DD</t>
        </is>
      </c>
      <c r="E8" s="46" t="n"/>
      <c r="F8" s="47" t="n"/>
    </row>
    <row r="9" ht="22.05" customHeight="1" s="42">
      <c r="A9" s="9" t="inlineStr">
        <is>
          <t>现价</t>
        </is>
      </c>
      <c r="B9" s="67" t="n">
        <v>49.3</v>
      </c>
      <c r="C9" s="47" t="n"/>
      <c r="D9" s="45" t="inlineStr">
        <is>
          <t>用交易货币</t>
        </is>
      </c>
      <c r="E9" s="46" t="n"/>
      <c r="F9" s="47" t="n"/>
    </row>
    <row r="10" ht="22.05" customHeight="1" s="42">
      <c r="A10" s="9" t="inlineStr">
        <is>
          <t>货币</t>
        </is>
      </c>
      <c r="B10" s="65" t="inlineStr">
        <is>
          <t>CNY</t>
        </is>
      </c>
      <c r="C10" s="47" t="n"/>
      <c r="D10" s="45" t="inlineStr">
        <is>
          <t>CNY / HKD / USD</t>
        </is>
      </c>
      <c r="E10" s="46" t="n"/>
      <c r="F10" s="47" t="n"/>
    </row>
    <row r="11" ht="22.05" customHeight="1" s="42">
      <c r="A11" s="9" t="inlineStr">
        <is>
          <t>行业</t>
        </is>
      </c>
      <c r="B11" s="65" t="inlineStr">
        <is>
          <t>药物非临床研究服务</t>
        </is>
      </c>
      <c r="C11" s="47" t="n"/>
      <c r="D11" s="45" t="n"/>
      <c r="E11" s="46" t="n"/>
      <c r="F11" s="47" t="n"/>
    </row>
    <row r="12" ht="22.05" customHeight="1" s="42">
      <c r="A12" s="9" t="inlineStr">
        <is>
          <t>报告期</t>
        </is>
      </c>
      <c r="B12" s="65" t="inlineStr">
        <is>
          <t>FY2025</t>
        </is>
      </c>
      <c r="C12" s="47" t="n"/>
      <c r="D12" s="45" t="inlineStr">
        <is>
          <t>例如 FY2025 或 2026H1</t>
        </is>
      </c>
      <c r="E12" s="46" t="n"/>
      <c r="F12" s="47" t="n"/>
    </row>
    <row r="13" ht="22.05" customHeight="1" s="42">
      <c r="A13" s="9" t="inlineStr">
        <is>
          <t>一句话投资论点</t>
        </is>
      </c>
      <c r="B13" s="65" t="inlineStr">
        <is>
          <t>药物非临床评价说得清，2025年经营现金流4.45亿元也为正，但年报把实验室服务及其他业务贡献净利润写成-1.64亿元，盈利来自生物资产公允价值变动净收益4.76亿元，初筛第5项为否，排除。</t>
        </is>
      </c>
      <c r="C13" s="68" t="n"/>
      <c r="D13" s="68" t="n"/>
      <c r="E13" s="68" t="n"/>
      <c r="F13" s="69" t="n"/>
    </row>
    <row r="14" ht="36" customHeight="1" s="42">
      <c r="B14" s="70" t="n"/>
      <c r="C14" s="71" t="n"/>
      <c r="D14" s="71" t="n"/>
      <c r="E14" s="71" t="n"/>
      <c r="F14" s="72" t="n"/>
    </row>
    <row r="15"/>
    <row r="16" ht="22.05" customHeight="1" s="42">
      <c r="A16" s="64" t="inlineStr">
        <is>
          <t>决策三分法（人工判断，允许不一致）</t>
        </is>
      </c>
    </row>
    <row r="17" ht="15" customHeight="1" s="42">
      <c r="A17" s="9" t="inlineStr">
        <is>
          <t>内在价值</t>
        </is>
      </c>
      <c r="B17" s="65" t="inlineStr">
        <is>
          <t>未建模</t>
        </is>
      </c>
      <c r="C17" s="47" t="n"/>
      <c r="D17" s="45" t="inlineStr">
        <is>
          <t>便宜 / 合理 / 贵</t>
        </is>
      </c>
      <c r="E17" s="46" t="n"/>
      <c r="F17" s="47" t="n"/>
    </row>
    <row r="18" ht="15" customHeight="1" s="42">
      <c r="A18" s="9" t="inlineStr">
        <is>
          <t>近 1–3 月方向</t>
        </is>
      </c>
      <c r="B18" s="65" t="inlineStr">
        <is>
          <t>偏多</t>
        </is>
      </c>
      <c r="C18" s="47" t="n"/>
      <c r="D18" s="45" t="inlineStr">
        <is>
          <t>偏多 / 中性 / 偏空</t>
        </is>
      </c>
      <c r="E18" s="46" t="n"/>
      <c r="F18" s="47" t="n"/>
    </row>
    <row r="19" ht="15" customHeight="1" s="42">
      <c r="A19" s="9" t="inlineStr">
        <is>
          <t>投资动作</t>
        </is>
      </c>
      <c r="B19" s="65" t="inlineStr">
        <is>
          <t>排除</t>
        </is>
      </c>
      <c r="C19" s="47" t="n"/>
      <c r="D19" s="45" t="inlineStr">
        <is>
          <t>买入 / 等待 / 减仓 / 观察 / 排除</t>
        </is>
      </c>
      <c r="E19" s="46" t="n"/>
      <c r="F19" s="47" t="n"/>
    </row>
    <row r="20" ht="15" customHeight="1" s="42">
      <c r="A20" s="9" t="inlineStr">
        <is>
          <t>财报可信度</t>
        </is>
      </c>
      <c r="B20" s="65" t="inlineStr">
        <is>
          <t>A</t>
        </is>
      </c>
      <c r="C20" s="47" t="n"/>
      <c r="D20" s="45" t="inlineStr">
        <is>
          <t>A / B / C / D</t>
        </is>
      </c>
      <c r="E20" s="46" t="n"/>
      <c r="F20" s="47" t="n"/>
    </row>
    <row r="21" ht="15" customHeight="1" s="42">
      <c r="A21" s="9" t="inlineStr">
        <is>
          <t>研究置信度</t>
        </is>
      </c>
      <c r="B21" s="65" t="inlineStr">
        <is>
          <t>高</t>
        </is>
      </c>
      <c r="C21" s="47" t="n"/>
      <c r="D21" s="45" t="inlineStr">
        <is>
          <t>高 / 中 / 低</t>
        </is>
      </c>
      <c r="E21" s="46" t="n"/>
      <c r="F21" s="47" t="n"/>
    </row>
    <row r="22" ht="15" customHeight="1" s="42">
      <c r="A22" s="9" t="inlineStr">
        <is>
          <t>最大风险（一条）</t>
        </is>
      </c>
      <c r="B22" s="65" t="inlineStr">
        <is>
          <t>把生物资产公允价值变动净收益写成实验室服务已经恢复的主业利润，或把9月30日首板写成新订单。</t>
        </is>
      </c>
      <c r="C22" s="47" t="n"/>
      <c r="D22" s="45" t="inlineStr">
        <is>
          <t>会推翻论点的那一条</t>
        </is>
      </c>
      <c r="E22" s="46" t="n"/>
      <c r="F22" s="47" t="n"/>
    </row>
    <row r="23"/>
    <row r="24" ht="22.05" customHeight="1" s="42">
      <c r="A24" s="64" t="inlineStr">
        <is>
          <t>自动汇总（不要改公式）</t>
        </is>
      </c>
    </row>
    <row r="25" ht="22.05" customHeight="1" s="42">
      <c r="A25" s="51" t="inlineStr">
        <is>
          <t>项目</t>
        </is>
      </c>
      <c r="B25" s="51" t="inlineStr">
        <is>
          <t>结果</t>
        </is>
      </c>
      <c r="C25" s="51" t="inlineStr">
        <is>
          <t>读法</t>
        </is>
      </c>
      <c r="D25" s="46" t="n"/>
      <c r="E25" s="46" t="n"/>
      <c r="F25" s="47" t="n"/>
    </row>
    <row r="26" ht="22.05" customHeight="1" s="42">
      <c r="A26" s="9" t="inlineStr">
        <is>
          <t>初筛闸门</t>
        </is>
      </c>
      <c r="B26" s="58">
        <f>初筛!B12</f>
        <v/>
      </c>
      <c r="C26" s="45" t="inlineStr">
        <is>
          <t>通过才继续；排除则停。</t>
        </is>
      </c>
      <c r="D26" s="46" t="n"/>
      <c r="E26" s="46" t="n"/>
      <c r="F26" s="47" t="n"/>
    </row>
    <row r="27" ht="22.05" customHeight="1" s="42">
      <c r="A27" s="9" t="inlineStr">
        <is>
          <t>初筛通过项</t>
        </is>
      </c>
      <c r="B27" s="15">
        <f>初筛!B11</f>
        <v/>
      </c>
      <c r="C27" s="45" t="inlineStr">
        <is>
          <t>5 项里有几项为「是」。</t>
        </is>
      </c>
      <c r="D27" s="46" t="n"/>
      <c r="E27" s="46" t="n"/>
      <c r="F27" s="47" t="n"/>
    </row>
    <row r="28" ht="22.05" customHeight="1" s="42">
      <c r="A28" s="9" t="inlineStr">
        <is>
          <t>Piotroski F</t>
        </is>
      </c>
      <c r="B28" s="15">
        <f>评分!B65</f>
        <v/>
      </c>
      <c r="C28" s="45" t="inlineStr">
        <is>
          <t>8–9 强，0–3 弱。不判断贵贱。</t>
        </is>
      </c>
      <c r="D28" s="46" t="n"/>
      <c r="E28" s="46" t="n"/>
      <c r="F28" s="47" t="n"/>
    </row>
    <row r="29" ht="22.05" customHeight="1" s="42">
      <c r="A29" s="9" t="inlineStr">
        <is>
          <t>Altman Z</t>
        </is>
      </c>
      <c r="B29" s="16">
        <f>评分!B66</f>
        <v/>
      </c>
      <c r="C29" s="45" t="inlineStr">
        <is>
          <t>&gt;2.99 较安全，&lt;1.81 困境区。金融股勿套。</t>
        </is>
      </c>
      <c r="D29" s="46" t="n"/>
      <c r="E29" s="46" t="n"/>
      <c r="F29" s="47" t="n"/>
    </row>
    <row r="30" ht="22.05" customHeight="1" s="42">
      <c r="A30" s="9" t="inlineStr">
        <is>
          <t>Beneish M</t>
        </is>
      </c>
      <c r="B30" s="16">
        <f>评分!B67</f>
        <v/>
      </c>
      <c r="C30" s="45" t="inlineStr">
        <is>
          <t>M &gt; -1.78 需警惕盈余操纵。</t>
        </is>
      </c>
      <c r="D30" s="46" t="n"/>
      <c r="E30" s="46" t="n"/>
      <c r="F30" s="47" t="n"/>
    </row>
    <row r="31" ht="22.05" customHeight="1" s="42">
      <c r="A31" s="9" t="inlineStr">
        <is>
          <t>Base 隐含价</t>
        </is>
      </c>
      <c r="B31" s="73">
        <f>估值!C28</f>
        <v/>
      </c>
      <c r="C31" s="45" t="inlineStr">
        <is>
          <t>基准情景价格。</t>
        </is>
      </c>
      <c r="D31" s="46" t="n"/>
      <c r="E31" s="46" t="n"/>
      <c r="F31" s="47" t="n"/>
    </row>
    <row r="32" ht="22.05" customHeight="1" s="42">
      <c r="A32" s="9" t="inlineStr">
        <is>
          <t>估值区间</t>
        </is>
      </c>
      <c r="B32" s="58">
        <f>估值!C31</f>
        <v/>
      </c>
      <c r="C32" s="45" t="inlineStr">
        <is>
          <t>Bear ~ Bull。</t>
        </is>
      </c>
      <c r="D32" s="46" t="n"/>
      <c r="E32" s="46" t="n"/>
      <c r="F32" s="47" t="n"/>
    </row>
    <row r="33" ht="22.05" customHeight="1" s="42">
      <c r="A33" s="9" t="inlineStr">
        <is>
          <t>期望价 vs 现价</t>
        </is>
      </c>
      <c r="B33" s="74">
        <f>估值!C30</f>
        <v/>
      </c>
      <c r="C33" s="45" t="inlineStr">
        <is>
          <t>正数=模型比现价高。</t>
        </is>
      </c>
      <c r="D33" s="46" t="n"/>
      <c r="E33" s="46" t="n"/>
      <c r="F33" s="47" t="n"/>
    </row>
    <row r="34" ht="22.05" customHeight="1" s="42">
      <c r="A34" s="9" t="inlineStr">
        <is>
          <t>建议仓位上限</t>
        </is>
      </c>
      <c r="B34" s="74">
        <f>风险!C16</f>
        <v/>
      </c>
      <c r="C34" s="45" t="inlineStr">
        <is>
          <t>占组合权益比例。</t>
        </is>
      </c>
      <c r="D34" s="46" t="n"/>
      <c r="E34" s="46" t="n"/>
      <c r="F34" s="47" t="n"/>
    </row>
    <row r="35" ht="22.05" customHeight="1" s="42">
      <c r="A35" s="9" t="inlineStr">
        <is>
          <t>建议金额</t>
        </is>
      </c>
      <c r="B35" s="75">
        <f>风险!C15</f>
        <v/>
      </c>
      <c r="C35" s="45" t="inlineStr">
        <is>
          <t>再与流动性上限取小。</t>
        </is>
      </c>
      <c r="D35" s="46" t="n"/>
      <c r="E35" s="46" t="n"/>
      <c r="F35" s="47" t="n"/>
    </row>
    <row r="36"/>
    <row r="37" ht="16.9" customHeight="1" s="42">
      <c r="A37" s="20" t="inlineStr">
        <is>
          <t>填写进度</t>
        </is>
      </c>
      <c r="B37" s="58">
        <f>COUNTA(B5:B12)+COUNTA(B17:B22)&amp;" 项已填"</f>
        <v/>
      </c>
      <c r="C37" s="45" t="inlineStr">
        <is>
          <t>本模板不抓行情。现价、财务请自己从年报 / 交易所 / 数据终端填入。</t>
        </is>
      </c>
      <c r="D37" s="46" t="n"/>
      <c r="E37" s="46" t="n"/>
      <c r="F37" s="47" t="n"/>
    </row>
  </sheetData>
  <mergeCells count="46">
    <mergeCell ref="B13:F14"/>
    <mergeCell ref="A16:F16"/>
    <mergeCell ref="D11:F11"/>
    <mergeCell ref="B7:C7"/>
    <mergeCell ref="B22:C22"/>
    <mergeCell ref="D17:F17"/>
    <mergeCell ref="C32:F32"/>
    <mergeCell ref="D7:F7"/>
    <mergeCell ref="B18:C18"/>
    <mergeCell ref="C37:F37"/>
    <mergeCell ref="C28:F28"/>
    <mergeCell ref="B12:C12"/>
    <mergeCell ref="D21:F21"/>
    <mergeCell ref="A2:F2"/>
    <mergeCell ref="B21:C21"/>
    <mergeCell ref="B11:C11"/>
    <mergeCell ref="C34:F34"/>
    <mergeCell ref="D12:F12"/>
    <mergeCell ref="D18:F18"/>
    <mergeCell ref="C30:F30"/>
    <mergeCell ref="D9:F9"/>
    <mergeCell ref="C33:F33"/>
    <mergeCell ref="A4:F4"/>
    <mergeCell ref="B17:C17"/>
    <mergeCell ref="D8:F8"/>
    <mergeCell ref="B8:C8"/>
    <mergeCell ref="D5:F5"/>
    <mergeCell ref="C35:F35"/>
    <mergeCell ref="B19:C19"/>
    <mergeCell ref="C26:F26"/>
    <mergeCell ref="B10:C10"/>
    <mergeCell ref="C29:F29"/>
    <mergeCell ref="C25:F25"/>
    <mergeCell ref="B9:C9"/>
    <mergeCell ref="D20:F20"/>
    <mergeCell ref="D10:F10"/>
    <mergeCell ref="A24:F24"/>
    <mergeCell ref="B6:C6"/>
    <mergeCell ref="D19:F19"/>
    <mergeCell ref="C31:F31"/>
    <mergeCell ref="B5:C5"/>
    <mergeCell ref="A1:F1"/>
    <mergeCell ref="B20:C20"/>
    <mergeCell ref="D22:F22"/>
    <mergeCell ref="C27:F27"/>
    <mergeCell ref="D6:F6"/>
  </mergeCells>
  <dataValidations count="7">
    <dataValidation sqref="B7" showDropDown="0" showInputMessage="0" showErrorMessage="0" allowBlank="1" errorTitle="无效输入" error="请从下拉列表选择" promptTitle="填写" prompt="从列表选择" type="list">
      <formula1>"A股,港股,美股"</formula1>
    </dataValidation>
    <dataValidation sqref="B10" showDropDown="0" showInputMessage="0" showErrorMessage="0" allowBlank="1" errorTitle="无效输入" error="请从下拉列表选择" promptTitle="填写" prompt="从列表选择" type="list">
      <formula1>"CNY,HKD,USD"</formula1>
    </dataValidation>
    <dataValidation sqref="B17" showDropDown="0" showInputMessage="0" showErrorMessage="0" allowBlank="1" errorTitle="无效输入" error="请从下拉列表选择" promptTitle="填写" prompt="从列表选择" type="list">
      <formula1>"便宜,合理,贵"</formula1>
    </dataValidation>
    <dataValidation sqref="B18" showDropDown="0" showInputMessage="0" showErrorMessage="0" allowBlank="1" errorTitle="无效输入" error="请从下拉列表选择" promptTitle="填写" prompt="从列表选择" type="list">
      <formula1>"偏多,中性,偏空"</formula1>
    </dataValidation>
    <dataValidation sqref="B19" showDropDown="0" showInputMessage="0" showErrorMessage="0" allowBlank="1" errorTitle="无效输入" error="请从下拉列表选择" promptTitle="填写" prompt="从列表选择" type="list">
      <formula1>"买入,等待,减仓,观察,排除"</formula1>
    </dataValidation>
    <dataValidation sqref="B20" showDropDown="0" showInputMessage="0" showErrorMessage="0" allowBlank="1" errorTitle="无效输入" error="请从下拉列表选择" promptTitle="填写" prompt="从列表选择" type="list">
      <formula1>"A,B,C,D"</formula1>
    </dataValidation>
    <dataValidation sqref="B21" showDropDown="0" showInputMessage="0" showErrorMessage="0" allowBlank="1" errorTitle="无效输入" error="请从下拉列表选择" promptTitle="填写" prompt="从列表选择" type="list">
      <formula1>"高,中,低"</formula1>
    </dataValidation>
  </dataValidations>
  <printOptions horizontalCentered="1"/>
  <pageMargins left="0.5" right="0.5" top="0.6" bottom="0.6" header="0.5" footer="0.5"/>
  <pageSetup orientation="portrait" paperSize="9" fitToHeight="0"/>
  <legacyDrawing xmlns:r="http://schemas.openxmlformats.org/officeDocument/2006/relationships" r:id="anysvml"/>
</worksheet>
</file>

<file path=xl/worksheets/sheet3.xml><?xml version="1.0" encoding="utf-8"?>
<worksheet xmlns="http://schemas.openxmlformats.org/spreadsheetml/2006/main">
  <sheetPr>
    <tabColor rgb="FFC65911"/>
    <outlinePr summaryBelow="1" summaryRight="1"/>
    <pageSetUpPr fitToPage="1"/>
  </sheetPr>
  <dimension ref="A1:F17"/>
  <sheetViews>
    <sheetView showGridLines="0" workbookViewId="0">
      <pane ySplit="1" topLeftCell="A2" activePane="bottomLeft" state="frozen"/>
      <selection pane="bottomLeft" activeCell="A1" sqref="A1"/>
    </sheetView>
  </sheetViews>
  <sheetFormatPr baseColWidth="8" defaultRowHeight="13.5"/>
  <cols>
    <col width="8" customWidth="1" style="42" min="1" max="1"/>
    <col width="52" customWidth="1" style="42" min="2" max="2"/>
    <col width="14" customWidth="1" style="42" min="3" max="3"/>
    <col width="42" customWidth="1" style="42" min="4" max="4"/>
    <col width="22" customWidth="1" style="42" min="5" max="6"/>
  </cols>
  <sheetData>
    <row r="1" ht="28.05" customHeight="1" s="42">
      <c r="A1" s="63" t="inlineStr">
        <is>
          <t>15 分钟初筛  ·  过不了就停</t>
        </is>
      </c>
      <c r="B1" s="46" t="n"/>
      <c r="C1" s="46" t="n"/>
      <c r="D1" s="46" t="n"/>
      <c r="E1" s="46" t="n"/>
      <c r="F1" s="47" t="n"/>
    </row>
    <row r="2">
      <c r="A2" s="58">
        <f>"标的："&amp;IF(封面!B5="","（先填封面代码）",封面!B5&amp;"  "&amp;封面!B6)</f>
        <v/>
      </c>
      <c r="B2" s="46" t="n"/>
      <c r="C2" s="46" t="n"/>
      <c r="D2" s="46" t="n"/>
      <c r="E2" s="46" t="n"/>
      <c r="F2" s="47" t="n"/>
    </row>
    <row r="3" ht="36" customHeight="1" s="42">
      <c r="A3" s="49" t="inlineStr">
        <is>
          <t>只回答能不能研究，不回答贵不贵。任一项为「否」→ 排除。五项皆「是」→ 通过。有「待查」→ 先去补材料。</t>
        </is>
      </c>
    </row>
    <row r="4"/>
    <row r="5" ht="22.05" customHeight="1" s="42">
      <c r="A5" s="51" t="inlineStr">
        <is>
          <t>#</t>
        </is>
      </c>
      <c r="B5" s="51" t="inlineStr">
        <is>
          <t>检查项</t>
        </is>
      </c>
      <c r="C5" s="51" t="inlineStr">
        <is>
          <t>结论</t>
        </is>
      </c>
      <c r="D5" s="51" t="inlineStr">
        <is>
          <t>备注（来源/页码）</t>
        </is>
      </c>
      <c r="E5" s="51" t="inlineStr">
        <is>
          <t>健康信号</t>
        </is>
      </c>
      <c r="F5" s="51" t="inlineStr">
        <is>
          <t>危险信号</t>
        </is>
      </c>
    </row>
    <row r="6" ht="36" customHeight="1" s="42">
      <c r="A6" s="2" t="inlineStr">
        <is>
          <t>1</t>
        </is>
      </c>
      <c r="B6" s="55" t="inlineStr">
        <is>
          <t>商业模式：能用两句话讲清客户、收费方式、成本从哪来</t>
        </is>
      </c>
      <c r="C6" s="65" t="inlineStr">
        <is>
          <t>是</t>
        </is>
      </c>
      <c r="D6" s="65" t="inlineStr">
        <is>
          <t>向药企提供药物非临床评价、药物发现、临床服务和实验模型。2025年营业收入1,657,624,302.72元，其中药物非临床研究服务是收入主体。来源：巨潮资讯2026-03-31《2025年年度报告》主要会计数据和经营讨论。</t>
        </is>
      </c>
      <c r="E6" s="21" t="inlineStr">
        <is>
          <t>模式一句话说清</t>
        </is>
      </c>
      <c r="F6" s="60" t="inlineStr">
        <is>
          <t>说不清怎么赚钱</t>
        </is>
      </c>
    </row>
    <row r="7" ht="36" customHeight="1" s="42">
      <c r="A7" s="2" t="inlineStr">
        <is>
          <t>2</t>
        </is>
      </c>
      <c r="B7" s="55" t="inlineStr">
        <is>
          <t>大股东/实控人：是经营公司，还是把公司当融资工具</t>
        </is>
      </c>
      <c r="C7" s="65" t="inlineStr">
        <is>
          <t>是</t>
        </is>
      </c>
      <c r="D7" s="65" t="inlineStr">
        <is>
          <t>东方财富公司资料：董事长、法定代表人冯宇霞，实际控制人冯宇霞、周志文。2026-06-30股东名册冯宇霞持股167,160,633股、占22.31%，周志文59,746,981股、占7.97%。公司在经营实验服务，不是空壳融资平台。2025年筹资现金流净额为负6,698.41万元，主要是分红和回购，不是当期定增。来源：东方财富RPT_F10_ORG_BASICINFO、RPT_F10_EH_HOLDERS；年报筹资现金流说明。</t>
        </is>
      </c>
      <c r="E7" s="21" t="inlineStr">
        <is>
          <t>利益与小股东同向</t>
        </is>
      </c>
      <c r="F7" s="60" t="inlineStr">
        <is>
          <t>频繁定增、占用、担保</t>
        </is>
      </c>
    </row>
    <row r="8" ht="36" customHeight="1" s="42">
      <c r="A8" s="2" t="inlineStr">
        <is>
          <t>3</t>
        </is>
      </c>
      <c r="B8" s="55" t="inlineStr">
        <is>
          <t>最近完整年度经营现金流为正，且与净利润方向一致</t>
        </is>
      </c>
      <c r="C8" s="65" t="inlineStr">
        <is>
          <t>是</t>
        </is>
      </c>
      <c r="D8" s="65" t="inlineStr">
        <is>
          <t>是。2025年经营活动现金流量净额444,566,722.13元，归母净利润297,841,047.52元，都为正，现金高于利润。来源：2025年年度报告主要会计数据。</t>
        </is>
      </c>
      <c r="E8" s="21" t="inlineStr">
        <is>
          <t>OCF&gt;0 且与利润同向</t>
        </is>
      </c>
      <c r="F8" s="60" t="inlineStr">
        <is>
          <t>利润涨、现金持续为负</t>
        </is>
      </c>
    </row>
    <row r="9" ht="36" customHeight="1" s="42">
      <c r="A9" s="2" t="inlineStr">
        <is>
          <t>4</t>
        </is>
      </c>
      <c r="B9" s="55" t="inlineStr">
        <is>
          <t>有息负债、短债、财务费用在可承受范围</t>
        </is>
      </c>
      <c r="C9" s="65" t="inlineStr">
        <is>
          <t>是</t>
        </is>
      </c>
      <c r="D9" s="65" t="inlineStr">
        <is>
          <t>是。2025年末货币资金911,854,340.56元。东方财富资产负债表短期借款、长期借款、应付债券为空。利息费用1,421,665.35元，营业利润337,991,117.87元，利息没有吃掉利润。租赁负债1,424,318.98元。来源：东方财富2025年报资产负债表和利润表，货币资金与现金流量表期末现金一致。</t>
        </is>
      </c>
      <c r="E9" s="21" t="inlineStr">
        <is>
          <t>短债有现金或稳定现金流覆盖</t>
        </is>
      </c>
      <c r="F9" s="60" t="inlineStr">
        <is>
          <t>短债滚续、利息吃掉利润</t>
        </is>
      </c>
    </row>
    <row r="10" ht="36" customHeight="1" s="42">
      <c r="A10" s="2" t="inlineStr">
        <is>
          <t>5</t>
        </is>
      </c>
      <c r="B10" s="55" t="inlineStr">
        <is>
          <t>扣除非经常性损益后，主业利润还站得住</t>
        </is>
      </c>
      <c r="C10" s="65" t="inlineStr">
        <is>
          <t>否</t>
        </is>
      </c>
      <c r="D10" s="65" t="inlineStr">
        <is>
          <t>否。年报扣非归母净利润311,475,492.83元，非经常性损益只有-1,363.44万元，所以公允价值没有被剔出扣非。公司另写：实验室服务及其他业务贡献净利润-16,422.09万元，同比下降219.61%；生物资产公允价值变动带来净收益47,569.64万元。公司定义前者为扣非再剔除生物资产公允价值变动。主业服务利润站不住，危险信号是靠公允价值。来源：2025年年度报告“归属于上市公司股东的扣除非经常性损益的净利润影响因素”。</t>
        </is>
      </c>
      <c r="E10" s="21" t="inlineStr">
        <is>
          <t>扣非后主业仍赚钱</t>
        </is>
      </c>
      <c r="F10" s="60" t="inlineStr">
        <is>
          <t>靠补贴、公允价值、一次性项目</t>
        </is>
      </c>
    </row>
    <row r="11" ht="15" customHeight="1" s="42">
      <c r="A11" s="9" t="inlineStr">
        <is>
          <t>通过项数</t>
        </is>
      </c>
      <c r="B11" s="23">
        <f>COUNTIF(C6:C10,"是")</f>
        <v/>
      </c>
      <c r="C11" s="58">
        <f>COUNTIF(C6:C10,"是")&amp;" / 5"</f>
        <v/>
      </c>
      <c r="D11" s="46" t="n"/>
      <c r="E11" s="46" t="n"/>
      <c r="F11" s="47" t="n"/>
    </row>
    <row r="12" ht="15" customHeight="1" s="42">
      <c r="A12" s="9" t="inlineStr">
        <is>
          <t>闸门结论</t>
        </is>
      </c>
      <c r="B12" s="24">
        <f>IF(COUNTIF(C6:C10,"否")&gt;0,"排除",IF(COUNTIF(C6:C10,"是")=5,"通过","待完成"))</f>
        <v/>
      </c>
      <c r="C12" s="45" t="inlineStr">
        <is>
          <t>排除：停止建模。通过：进入财务表。待完成：先补年报/公告。</t>
        </is>
      </c>
      <c r="D12" s="46" t="n"/>
      <c r="E12" s="46" t="n"/>
      <c r="F12" s="47" t="n"/>
    </row>
    <row r="13"/>
    <row r="14" ht="22.05" customHeight="1" s="42">
      <c r="A14" s="64" t="inlineStr">
        <is>
          <t>若通过，用一句话写下商业模式（给备忘录用）</t>
        </is>
      </c>
    </row>
    <row r="15" ht="22.05" customHeight="1" s="42">
      <c r="A15" s="65" t="inlineStr">
        <is>
          <t>向药企收实验服务费，成本是实验人员、动物和设施。2025年确认了16.58亿元收入，但公司自己把剔除生物资产公允价值后的实验室服务净利润写成-1.64亿元。</t>
        </is>
      </c>
      <c r="B15" s="68" t="n"/>
      <c r="C15" s="68" t="n"/>
      <c r="D15" s="68" t="n"/>
      <c r="E15" s="68" t="n"/>
      <c r="F15" s="69" t="n"/>
    </row>
    <row r="16" ht="22.05" customHeight="1" s="42">
      <c r="A16" s="76" t="n"/>
      <c r="F16" s="77" t="n"/>
    </row>
    <row r="17" ht="22.05" customHeight="1" s="42">
      <c r="A17" s="70" t="n"/>
      <c r="B17" s="71" t="n"/>
      <c r="C17" s="71" t="n"/>
      <c r="D17" s="71" t="n"/>
      <c r="E17" s="71" t="n"/>
      <c r="F17" s="72" t="n"/>
    </row>
  </sheetData>
  <mergeCells count="7">
    <mergeCell ref="A2:F2"/>
    <mergeCell ref="A15:F17"/>
    <mergeCell ref="A14:F14"/>
    <mergeCell ref="A1:F1"/>
    <mergeCell ref="C12:F12"/>
    <mergeCell ref="C11:F11"/>
    <mergeCell ref="A3:F3"/>
  </mergeCells>
  <dataValidations count="1">
    <dataValidation sqref="C6:C10" showDropDown="0" showInputMessage="0" showErrorMessage="0" allowBlank="1" errorTitle="无效输入" error="请从下拉列表选择" promptTitle="填写" prompt="从列表选择" type="list">
      <formula1>"是,否,待查"</formula1>
    </dataValidation>
  </dataValidations>
  <printOptions horizontalCentered="1"/>
  <pageMargins left="0.5" right="0.5" top="0.6" bottom="0.6" header="0.5" footer="0.5"/>
  <pageSetup orientation="portrait" paperSize="9" fitToHeight="0"/>
</worksheet>
</file>

<file path=xl/worksheets/sheet4.xml><?xml version="1.0" encoding="utf-8"?>
<worksheet xmlns="http://schemas.openxmlformats.org/spreadsheetml/2006/main">
  <sheetPr>
    <tabColor rgb="FF548235"/>
    <outlinePr summaryBelow="1" summaryRight="1"/>
    <pageSetUpPr fitToPage="1"/>
  </sheetPr>
  <dimension ref="A1:I33"/>
  <sheetViews>
    <sheetView showGridLines="0" workbookViewId="0">
      <pane ySplit="1" topLeftCell="A2" activePane="bottomLeft" state="frozen"/>
      <selection pane="bottomLeft" activeCell="A1" sqref="A1"/>
    </sheetView>
  </sheetViews>
  <sheetFormatPr baseColWidth="8" defaultRowHeight="13.5"/>
  <cols>
    <col width="18" customWidth="1" style="42" min="1" max="1"/>
    <col width="16" customWidth="1" style="42" min="2" max="2"/>
    <col width="14" customWidth="1" style="42" min="3" max="7"/>
    <col width="16" customWidth="1" style="42" min="8" max="8"/>
    <col width="28" customWidth="1" style="42" min="9" max="9"/>
  </cols>
  <sheetData>
    <row r="1" ht="28.05" customHeight="1" s="42">
      <c r="A1" s="63" t="inlineStr">
        <is>
          <t>财务质量  ·  先核对三表，再谈估值</t>
        </is>
      </c>
      <c r="B1" s="46" t="n"/>
      <c r="C1" s="46" t="n"/>
      <c r="D1" s="46" t="n"/>
      <c r="E1" s="46" t="n"/>
      <c r="F1" s="46" t="n"/>
      <c r="G1" s="46" t="n"/>
      <c r="H1" s="46" t="n"/>
      <c r="I1" s="47" t="n"/>
    </row>
    <row r="2">
      <c r="A2" s="58">
        <f>"标的："&amp;IF(封面!B5="","（先填封面）",封面!B5&amp;"  "&amp;封面!B6&amp;"  报告期 "&amp;封面!B12)</f>
        <v/>
      </c>
      <c r="B2" s="46" t="n"/>
      <c r="C2" s="46" t="n"/>
      <c r="D2" s="46" t="n"/>
      <c r="E2" s="46" t="n"/>
      <c r="F2" s="46" t="n"/>
      <c r="G2" s="46" t="n"/>
      <c r="H2" s="46" t="n"/>
      <c r="I2" s="47" t="n"/>
    </row>
    <row r="3" ht="36" customHeight="1" s="42">
      <c r="A3" s="49" t="inlineStr">
        <is>
          <t>黄格填年报数字（单位自定，全表保持一致，建议百万元）。绿格是同比或比率。至少填最近两年，才能驱动「评分」表。金融股部分比率不适用，在备注说明。</t>
        </is>
      </c>
    </row>
    <row r="4"/>
    <row r="5" ht="22.05" customHeight="1" s="42">
      <c r="A5" s="51" t="inlineStr">
        <is>
          <t>科目</t>
        </is>
      </c>
      <c r="B5" s="51" t="inlineStr">
        <is>
          <t>T-4</t>
        </is>
      </c>
      <c r="C5" s="51" t="inlineStr">
        <is>
          <t>T-3</t>
        </is>
      </c>
      <c r="D5" s="51" t="inlineStr">
        <is>
          <t>T-2</t>
        </is>
      </c>
      <c r="E5" s="51" t="inlineStr">
        <is>
          <t>T-1</t>
        </is>
      </c>
      <c r="F5" s="51" t="inlineStr">
        <is>
          <t>T（最新）</t>
        </is>
      </c>
      <c r="G5" s="51" t="inlineStr">
        <is>
          <t>T 同比</t>
        </is>
      </c>
      <c r="H5" s="51" t="inlineStr">
        <is>
          <t>现金转化/备注</t>
        </is>
      </c>
      <c r="I5" s="51" t="inlineStr">
        <is>
          <t>来源（年报页）</t>
        </is>
      </c>
    </row>
    <row r="6" ht="15" customHeight="1" s="42">
      <c r="A6" s="9" t="inlineStr">
        <is>
          <t>年份（文本）</t>
        </is>
      </c>
      <c r="B6" s="25" t="n"/>
      <c r="C6" s="25" t="n"/>
      <c r="D6" s="25" t="n"/>
      <c r="E6" s="25" t="n"/>
      <c r="F6" s="25" t="n"/>
      <c r="G6" s="26" t="inlineStr">
        <is>
          <t>勿填</t>
        </is>
      </c>
      <c r="H6" s="26" t="inlineStr">
        <is>
          <t>单位写这里 →</t>
        </is>
      </c>
      <c r="I6" s="48" t="inlineStr">
        <is>
          <t>百万元</t>
        </is>
      </c>
    </row>
    <row r="7" ht="20" customHeight="1" s="42">
      <c r="A7" s="9" t="inlineStr">
        <is>
          <t>营业收入</t>
        </is>
      </c>
      <c r="B7" s="78" t="n"/>
      <c r="C7" s="78" t="n"/>
      <c r="D7" s="78" t="n"/>
      <c r="E7" s="78" t="n"/>
      <c r="F7" s="78" t="n"/>
      <c r="G7" s="79">
        <f>IF(OR(E7="",E7=0,F7=""),"",(F7-E7)/E7)</f>
        <v/>
      </c>
      <c r="H7" s="28" t="n"/>
      <c r="I7" s="41" t="n"/>
    </row>
    <row r="8" ht="20" customHeight="1" s="42">
      <c r="A8" s="9" t="inlineStr">
        <is>
          <t>毛利</t>
        </is>
      </c>
      <c r="B8" s="78" t="n"/>
      <c r="C8" s="78" t="n"/>
      <c r="D8" s="78" t="n"/>
      <c r="E8" s="78" t="n"/>
      <c r="F8" s="78" t="n"/>
      <c r="G8" s="79">
        <f>IF(OR(E8="",E8=0,F8=""),"",(F8-E8)/E8)</f>
        <v/>
      </c>
      <c r="H8" s="28" t="n"/>
      <c r="I8" s="41" t="n"/>
    </row>
    <row r="9" ht="20" customHeight="1" s="42">
      <c r="A9" s="9" t="inlineStr">
        <is>
          <t>毛利率</t>
        </is>
      </c>
      <c r="B9" s="80" t="n"/>
      <c r="C9" s="80" t="n"/>
      <c r="D9" s="80" t="n"/>
      <c r="E9" s="80" t="n"/>
      <c r="F9" s="80" t="n"/>
      <c r="G9" s="79">
        <f>IF(OR(E9="",F9=""),"",F9-E9)</f>
        <v/>
      </c>
      <c r="H9" s="79">
        <f>IF(OR(F7="",F7=0,F8=""),"",F8/F7)</f>
        <v/>
      </c>
      <c r="I9" s="41" t="n"/>
    </row>
    <row r="10" ht="20" customHeight="1" s="42">
      <c r="A10" s="9" t="inlineStr">
        <is>
          <t>扣非净利润</t>
        </is>
      </c>
      <c r="B10" s="78" t="n"/>
      <c r="C10" s="78" t="n"/>
      <c r="D10" s="78" t="n"/>
      <c r="E10" s="78" t="n"/>
      <c r="F10" s="78" t="n"/>
      <c r="G10" s="79">
        <f>IF(OR(E10="",E10=0,F10=""),"",(F10-E10)/E10)</f>
        <v/>
      </c>
      <c r="H10" s="28" t="n"/>
      <c r="I10" s="41" t="n"/>
    </row>
    <row r="11" ht="20" customHeight="1" s="42">
      <c r="A11" s="9" t="inlineStr">
        <is>
          <t>净利润</t>
        </is>
      </c>
      <c r="B11" s="78" t="n"/>
      <c r="C11" s="78" t="n"/>
      <c r="D11" s="78" t="n"/>
      <c r="E11" s="78" t="n"/>
      <c r="F11" s="78" t="n"/>
      <c r="G11" s="79">
        <f>IF(OR(E11="",E11=0,F11=""),"",(F11-E11)/E11)</f>
        <v/>
      </c>
      <c r="H11" s="28" t="n"/>
      <c r="I11" s="41" t="n"/>
    </row>
    <row r="12" ht="20" customHeight="1" s="42">
      <c r="A12" s="9" t="inlineStr">
        <is>
          <t>经营现金流</t>
        </is>
      </c>
      <c r="B12" s="78" t="n"/>
      <c r="C12" s="78" t="n"/>
      <c r="D12" s="78" t="n"/>
      <c r="E12" s="78" t="n"/>
      <c r="F12" s="78" t="n"/>
      <c r="G12" s="79">
        <f>IF(OR(E12="",E12=0,F12=""),"",(F12-E12)/E12)</f>
        <v/>
      </c>
      <c r="H12" s="81">
        <f>IF(OR(F11="",F11=0,F12=""),"",F12/F11)</f>
        <v/>
      </c>
      <c r="I12" s="41" t="n"/>
    </row>
    <row r="13" ht="20" customHeight="1" s="42">
      <c r="A13" s="9" t="inlineStr">
        <is>
          <t>资本开支</t>
        </is>
      </c>
      <c r="B13" s="78" t="n"/>
      <c r="C13" s="78" t="n"/>
      <c r="D13" s="78" t="n"/>
      <c r="E13" s="78" t="n"/>
      <c r="F13" s="78" t="n"/>
      <c r="G13" s="79">
        <f>IF(OR(E13="",E13=0,F13=""),"",(F13-E13)/E13)</f>
        <v/>
      </c>
      <c r="H13" s="28" t="n"/>
      <c r="I13" s="41" t="n"/>
    </row>
    <row r="14" ht="20" customHeight="1" s="42">
      <c r="A14" s="9" t="inlineStr">
        <is>
          <t>自由现金流</t>
        </is>
      </c>
      <c r="B14" s="78" t="n"/>
      <c r="C14" s="78" t="n"/>
      <c r="D14" s="78" t="n"/>
      <c r="E14" s="78" t="n"/>
      <c r="F14" s="78" t="n"/>
      <c r="G14" s="79">
        <f>IF(OR(E14="",E14=0,F14=""),"",(F14-E14)/E14)</f>
        <v/>
      </c>
      <c r="H14" s="82">
        <f>IF(OR(F12="",F13=""),"",F12-F13)</f>
        <v/>
      </c>
      <c r="I14" s="41" t="n"/>
    </row>
    <row r="15" ht="20" customHeight="1" s="42">
      <c r="A15" s="9" t="inlineStr">
        <is>
          <t>ROE</t>
        </is>
      </c>
      <c r="B15" s="80" t="n"/>
      <c r="C15" s="80" t="n"/>
      <c r="D15" s="80" t="n"/>
      <c r="E15" s="80" t="n"/>
      <c r="F15" s="80" t="n"/>
      <c r="G15" s="79">
        <f>IF(OR(E15="",F15=""),"",F15-E15)</f>
        <v/>
      </c>
      <c r="H15" s="28" t="n"/>
      <c r="I15" s="41" t="n"/>
    </row>
    <row r="16" ht="20" customHeight="1" s="42">
      <c r="A16" s="9" t="inlineStr">
        <is>
          <t>ROIC</t>
        </is>
      </c>
      <c r="B16" s="80" t="n"/>
      <c r="C16" s="80" t="n"/>
      <c r="D16" s="80" t="n"/>
      <c r="E16" s="80" t="n"/>
      <c r="F16" s="80" t="n"/>
      <c r="G16" s="79">
        <f>IF(OR(E16="",F16=""),"",F16-E16)</f>
        <v/>
      </c>
      <c r="H16" s="28" t="n"/>
      <c r="I16" s="41" t="n"/>
    </row>
    <row r="17" ht="20" customHeight="1" s="42">
      <c r="A17" s="9" t="inlineStr">
        <is>
          <t>总资产</t>
        </is>
      </c>
      <c r="B17" s="78" t="n"/>
      <c r="C17" s="78" t="n"/>
      <c r="D17" s="78" t="n"/>
      <c r="E17" s="78" t="n"/>
      <c r="F17" s="78" t="n"/>
      <c r="G17" s="79">
        <f>IF(OR(E17="",E17=0,F17=""),"",(F17-E17)/E17)</f>
        <v/>
      </c>
      <c r="H17" s="28" t="n"/>
      <c r="I17" s="41" t="n"/>
    </row>
    <row r="18" ht="20" customHeight="1" s="42">
      <c r="A18" s="9" t="inlineStr">
        <is>
          <t>有息负债</t>
        </is>
      </c>
      <c r="B18" s="78" t="n"/>
      <c r="C18" s="78" t="n"/>
      <c r="D18" s="78" t="n"/>
      <c r="E18" s="78" t="n"/>
      <c r="F18" s="78" t="n"/>
      <c r="G18" s="79">
        <f>IF(OR(E18="",E18=0,F18=""),"",(F18-E18)/E18)</f>
        <v/>
      </c>
      <c r="H18" s="28" t="n"/>
      <c r="I18" s="41" t="n"/>
    </row>
    <row r="19" ht="20" customHeight="1" s="42">
      <c r="A19" s="9" t="inlineStr">
        <is>
          <t>现金及等价物</t>
        </is>
      </c>
      <c r="B19" s="78" t="n"/>
      <c r="C19" s="78" t="n"/>
      <c r="D19" s="78" t="n"/>
      <c r="E19" s="78" t="n"/>
      <c r="F19" s="78" t="n"/>
      <c r="G19" s="79">
        <f>IF(OR(E19="",E19=0,F19=""),"",(F19-E19)/E19)</f>
        <v/>
      </c>
      <c r="H19" s="28" t="n"/>
      <c r="I19" s="41" t="n"/>
    </row>
    <row r="20" ht="20" customHeight="1" s="42">
      <c r="A20" s="9" t="inlineStr">
        <is>
          <t>净负债</t>
        </is>
      </c>
      <c r="B20" s="78" t="n"/>
      <c r="C20" s="78" t="n"/>
      <c r="D20" s="78" t="n"/>
      <c r="E20" s="78" t="n"/>
      <c r="F20" s="78" t="n"/>
      <c r="G20" s="79">
        <f>IF(OR(E20="",E20=0,F20=""),"",(F20-E20)/E20)</f>
        <v/>
      </c>
      <c r="H20" s="82">
        <f>IF(OR(F18="",F19=""),"",F18-F19)</f>
        <v/>
      </c>
      <c r="I20" s="41" t="n"/>
    </row>
    <row r="21" ht="20" customHeight="1" s="42">
      <c r="A21" s="9" t="inlineStr">
        <is>
          <t>商誉</t>
        </is>
      </c>
      <c r="B21" s="78" t="n"/>
      <c r="C21" s="78" t="n"/>
      <c r="D21" s="78" t="n"/>
      <c r="E21" s="78" t="n"/>
      <c r="F21" s="78" t="n"/>
      <c r="G21" s="79">
        <f>IF(OR(E21="",E21=0,F21=""),"",(F21-E21)/E21)</f>
        <v/>
      </c>
      <c r="H21" s="28" t="n"/>
      <c r="I21" s="41" t="n"/>
    </row>
    <row r="22" ht="20" customHeight="1" s="42">
      <c r="A22" s="9" t="inlineStr">
        <is>
          <t>应收账款</t>
        </is>
      </c>
      <c r="B22" s="78" t="n"/>
      <c r="C22" s="78" t="n"/>
      <c r="D22" s="78" t="n"/>
      <c r="E22" s="78" t="n"/>
      <c r="F22" s="78" t="n"/>
      <c r="G22" s="79">
        <f>IF(OR(E22="",E22=0,F22=""),"",(F22-E22)/E22)</f>
        <v/>
      </c>
      <c r="H22" s="28" t="n"/>
      <c r="I22" s="41" t="n"/>
    </row>
    <row r="23" ht="20" customHeight="1" s="42">
      <c r="A23" s="9" t="inlineStr">
        <is>
          <t>存货</t>
        </is>
      </c>
      <c r="B23" s="78" t="n"/>
      <c r="C23" s="78" t="n"/>
      <c r="D23" s="78" t="n"/>
      <c r="E23" s="78" t="n"/>
      <c r="F23" s="78" t="n"/>
      <c r="G23" s="79">
        <f>IF(OR(E23="",E23=0,F23=""),"",(F23-E23)/E23)</f>
        <v/>
      </c>
      <c r="H23" s="28" t="n"/>
      <c r="I23" s="41" t="n"/>
    </row>
    <row r="24" ht="20" customHeight="1" s="42">
      <c r="A24" s="9" t="inlineStr">
        <is>
          <t>股本（稀释后）</t>
        </is>
      </c>
      <c r="B24" s="78" t="n"/>
      <c r="C24" s="78" t="n"/>
      <c r="D24" s="78" t="n"/>
      <c r="E24" s="78" t="n"/>
      <c r="F24" s="78" t="n"/>
      <c r="G24" s="79">
        <f>IF(OR(E24="",E24=0,F24=""),"",(F24-E24)/E24)</f>
        <v/>
      </c>
      <c r="H24" s="28" t="n"/>
      <c r="I24" s="41" t="n"/>
    </row>
    <row r="25" ht="36" customHeight="1" s="42">
      <c r="A25" s="49" t="inlineStr">
        <is>
          <t>核对：H9 应接近你填的毛利率；H12 是经营现金流/净利润（现金转化，&gt;0.8 较健康）；H14=OCF-资本开支；H20=有息负债-现金。数字对不上年报时先停。</t>
        </is>
      </c>
    </row>
    <row r="26"/>
    <row r="27" ht="22.05" customHeight="1" s="42">
      <c r="A27" s="64" t="inlineStr">
        <is>
          <t>质量解读（文字，给备忘录用）</t>
        </is>
      </c>
    </row>
    <row r="28" ht="22.05" customHeight="1" s="42">
      <c r="A28" s="51" t="inlineStr">
        <is>
          <t>维度</t>
        </is>
      </c>
      <c r="B28" s="51" t="inlineStr">
        <is>
          <t>看什么</t>
        </is>
      </c>
      <c r="C28" s="51" t="inlineStr">
        <is>
          <t>你的判断（黄格）</t>
        </is>
      </c>
      <c r="D28" s="46" t="n"/>
      <c r="E28" s="47" t="n"/>
      <c r="F28" s="51" t="inlineStr">
        <is>
          <t>危险信号对照</t>
        </is>
      </c>
      <c r="G28" s="46" t="n"/>
      <c r="H28" s="46" t="n"/>
      <c r="I28" s="47" t="n"/>
    </row>
    <row r="29" ht="28.05" customHeight="1" s="42">
      <c r="A29" s="9" t="inlineStr">
        <is>
          <t>成长</t>
        </is>
      </c>
      <c r="B29" s="45" t="inlineStr">
        <is>
          <t>营收、扣非净利、FCF 是否同向</t>
        </is>
      </c>
      <c r="C29" s="41" t="n"/>
      <c r="D29" s="46" t="n"/>
      <c r="E29" s="47" t="n"/>
      <c r="F29" s="60" t="inlineStr">
        <is>
          <t>利润涨、现金不涨</t>
        </is>
      </c>
      <c r="G29" s="46" t="n"/>
      <c r="H29" s="46" t="n"/>
      <c r="I29" s="47" t="n"/>
    </row>
    <row r="30" ht="28.05" customHeight="1" s="42">
      <c r="A30" s="9" t="inlineStr">
        <is>
          <t>盈利</t>
        </is>
      </c>
      <c r="B30" s="45" t="inlineStr">
        <is>
          <t>毛利率稳或升，费用不失控</t>
        </is>
      </c>
      <c r="C30" s="41" t="n"/>
      <c r="D30" s="46" t="n"/>
      <c r="E30" s="47" t="n"/>
      <c r="F30" s="60" t="inlineStr">
        <is>
          <t>靠费用压缩撑净利</t>
        </is>
      </c>
      <c r="G30" s="46" t="n"/>
      <c r="H30" s="46" t="n"/>
      <c r="I30" s="47" t="n"/>
    </row>
    <row r="31" ht="28.05" customHeight="1" s="42">
      <c r="A31" s="9" t="inlineStr">
        <is>
          <t>回报</t>
        </is>
      </c>
      <c r="B31" s="45" t="inlineStr">
        <is>
          <t>ROIC 是否持续高于资本成本</t>
        </is>
      </c>
      <c r="C31" s="41" t="n"/>
      <c r="D31" s="46" t="n"/>
      <c r="E31" s="47" t="n"/>
      <c r="F31" s="60" t="inlineStr">
        <is>
          <t>靠加杠杆抬 ROE</t>
        </is>
      </c>
      <c r="G31" s="46" t="n"/>
      <c r="H31" s="46" t="n"/>
      <c r="I31" s="47" t="n"/>
    </row>
    <row r="32" ht="28.05" customHeight="1" s="42">
      <c r="A32" s="9" t="inlineStr">
        <is>
          <t>现金</t>
        </is>
      </c>
      <c r="B32" s="45" t="inlineStr">
        <is>
          <t>现金转化是否稳定</t>
        </is>
      </c>
      <c r="C32" s="41" t="n"/>
      <c r="D32" s="46" t="n"/>
      <c r="E32" s="47" t="n"/>
      <c r="F32" s="60" t="inlineStr">
        <is>
          <t>应计利润高、资本化激进</t>
        </is>
      </c>
      <c r="G32" s="46" t="n"/>
      <c r="H32" s="46" t="n"/>
      <c r="I32" s="47" t="n"/>
    </row>
    <row r="33" ht="28.05" customHeight="1" s="42">
      <c r="A33" s="9" t="inlineStr">
        <is>
          <t>资产负债</t>
        </is>
      </c>
      <c r="B33" s="45" t="inlineStr">
        <is>
          <t>短债覆盖、商誉、应收/存货</t>
        </is>
      </c>
      <c r="C33" s="41" t="n"/>
      <c r="D33" s="46" t="n"/>
      <c r="E33" s="47" t="n"/>
      <c r="F33" s="60" t="inlineStr">
        <is>
          <t>商誉大、应收存货异常升</t>
        </is>
      </c>
      <c r="G33" s="46" t="n"/>
      <c r="H33" s="46" t="n"/>
      <c r="I33" s="47" t="n"/>
    </row>
  </sheetData>
  <mergeCells count="17">
    <mergeCell ref="F32:I32"/>
    <mergeCell ref="A25:I25"/>
    <mergeCell ref="C33:E33"/>
    <mergeCell ref="F31:I31"/>
    <mergeCell ref="C28:E28"/>
    <mergeCell ref="A2:I2"/>
    <mergeCell ref="C31:E31"/>
    <mergeCell ref="A1:I1"/>
    <mergeCell ref="F30:I30"/>
    <mergeCell ref="A27:I27"/>
    <mergeCell ref="F29:I29"/>
    <mergeCell ref="A3:I3"/>
    <mergeCell ref="C29:E29"/>
    <mergeCell ref="C30:E30"/>
    <mergeCell ref="F33:I33"/>
    <mergeCell ref="C32:E32"/>
    <mergeCell ref="F28:I28"/>
  </mergeCells>
  <printOptions horizontalCentered="1"/>
  <pageMargins left="0.5" right="0.5" top="0.6" bottom="0.6" header="0.5" footer="0.5"/>
  <pageSetup orientation="landscape" paperSize="9" fitToHeight="0"/>
</worksheet>
</file>

<file path=xl/worksheets/sheet5.xml><?xml version="1.0" encoding="utf-8"?>
<worksheet xmlns="http://schemas.openxmlformats.org/spreadsheetml/2006/main">
  <sheetPr>
    <tabColor rgb="FF2E75B6"/>
    <outlinePr summaryBelow="1" summaryRight="1"/>
    <pageSetUpPr fitToPage="1"/>
  </sheetPr>
  <dimension ref="A1:F67"/>
  <sheetViews>
    <sheetView showGridLines="0" workbookViewId="0">
      <pane ySplit="1" topLeftCell="A2" activePane="bottomLeft" state="frozen"/>
      <selection pane="bottomLeft" activeCell="A1" sqref="A1"/>
    </sheetView>
  </sheetViews>
  <sheetFormatPr baseColWidth="8" defaultRowHeight="13.5"/>
  <cols>
    <col width="22" customWidth="1" style="42" min="1" max="1"/>
    <col width="16" customWidth="1" style="42" min="2" max="3"/>
    <col width="44" customWidth="1" style="42" min="4" max="4"/>
    <col width="18" customWidth="1" style="42" min="5" max="5"/>
    <col width="22" customWidth="1" style="42" min="6" max="6"/>
  </cols>
  <sheetData>
    <row r="1" ht="28.05" customHeight="1" s="42">
      <c r="A1" s="63" t="inlineStr">
        <is>
          <t>质量评分  ·  F / Z / M（体检，不是买卖信号）</t>
        </is>
      </c>
      <c r="B1" s="46" t="n"/>
      <c r="C1" s="46" t="n"/>
      <c r="D1" s="46" t="n"/>
      <c r="E1" s="46" t="n"/>
      <c r="F1" s="47" t="n"/>
    </row>
    <row r="2">
      <c r="A2" s="58">
        <f>"标的："&amp;IF(封面!B5="","（先填封面）",封面!B5)</f>
        <v/>
      </c>
      <c r="B2" s="46" t="n"/>
      <c r="C2" s="46" t="n"/>
      <c r="D2" s="46" t="n"/>
      <c r="E2" s="46" t="n"/>
      <c r="F2" s="47" t="n"/>
    </row>
    <row r="3" ht="36" customHeight="1" s="42">
      <c r="A3" s="49" t="inlineStr">
        <is>
          <t>可从「财务」表抄最近两年，或直接填。空着的项不记分。金融、保险、REITs 不要用原版 Z。高增长公司 M 分数易假阳性。</t>
        </is>
      </c>
    </row>
    <row r="4"/>
    <row r="5" ht="22.05" customHeight="1" s="42">
      <c r="A5" s="64" t="inlineStr">
        <is>
          <t>A. 输入（与财务表最近两年对应）</t>
        </is>
      </c>
    </row>
    <row r="6" ht="22.05" customHeight="1" s="42">
      <c r="A6" s="51" t="inlineStr">
        <is>
          <t>项目</t>
        </is>
      </c>
      <c r="B6" s="51" t="inlineStr">
        <is>
          <t>上年 T-1</t>
        </is>
      </c>
      <c r="C6" s="51" t="inlineStr">
        <is>
          <t>本年 T</t>
        </is>
      </c>
      <c r="D6" s="51" t="inlineStr">
        <is>
          <t>说明</t>
        </is>
      </c>
      <c r="E6" s="51" t="inlineStr">
        <is>
          <t>财务表对照</t>
        </is>
      </c>
      <c r="F6" s="47" t="n"/>
    </row>
    <row r="7" ht="15" customHeight="1" s="42">
      <c r="A7" s="9" t="inlineStr">
        <is>
          <t>净利润</t>
        </is>
      </c>
      <c r="B7" s="78" t="n"/>
      <c r="C7" s="78" t="n"/>
      <c r="D7" s="45" t="inlineStr">
        <is>
          <t>财务!E11 / F11</t>
        </is>
      </c>
      <c r="E7" s="46" t="n"/>
      <c r="F7" s="47" t="n"/>
    </row>
    <row r="8" ht="15" customHeight="1" s="42">
      <c r="A8" s="9" t="inlineStr">
        <is>
          <t>总资产</t>
        </is>
      </c>
      <c r="B8" s="78" t="n"/>
      <c r="C8" s="78" t="n"/>
      <c r="D8" s="45" t="inlineStr">
        <is>
          <t>财务!E17 / F17</t>
        </is>
      </c>
      <c r="E8" s="46" t="n"/>
      <c r="F8" s="47" t="n"/>
    </row>
    <row r="9" ht="15" customHeight="1" s="42">
      <c r="A9" s="9" t="inlineStr">
        <is>
          <t>经营现金流</t>
        </is>
      </c>
      <c r="B9" s="78" t="n"/>
      <c r="C9" s="78" t="n"/>
      <c r="D9" s="45" t="inlineStr">
        <is>
          <t>财务!E12 / F12</t>
        </is>
      </c>
      <c r="E9" s="46" t="n"/>
      <c r="F9" s="47" t="n"/>
    </row>
    <row r="10" ht="15" customHeight="1" s="42">
      <c r="A10" s="9" t="inlineStr">
        <is>
          <t>长期/有息负债</t>
        </is>
      </c>
      <c r="B10" s="78" t="n"/>
      <c r="C10" s="78" t="n"/>
      <c r="D10" s="45" t="inlineStr">
        <is>
          <t>财务!E18 / F18</t>
        </is>
      </c>
      <c r="E10" s="46" t="n"/>
      <c r="F10" s="47" t="n"/>
    </row>
    <row r="11" ht="15" customHeight="1" s="42">
      <c r="A11" s="9" t="inlineStr">
        <is>
          <t>流动资产</t>
        </is>
      </c>
      <c r="B11" s="78" t="n"/>
      <c r="C11" s="78" t="n"/>
      <c r="D11" s="45" t="inlineStr">
        <is>
          <t>资产负债表</t>
        </is>
      </c>
      <c r="E11" s="46" t="n"/>
      <c r="F11" s="47" t="n"/>
    </row>
    <row r="12" ht="15" customHeight="1" s="42">
      <c r="A12" s="9" t="inlineStr">
        <is>
          <t>流动负债</t>
        </is>
      </c>
      <c r="B12" s="78" t="n"/>
      <c r="C12" s="78" t="n"/>
      <c r="D12" s="45" t="inlineStr">
        <is>
          <t>资产负债表</t>
        </is>
      </c>
      <c r="E12" s="46" t="n"/>
      <c r="F12" s="47" t="n"/>
    </row>
    <row r="13" ht="15" customHeight="1" s="42">
      <c r="A13" s="9" t="inlineStr">
        <is>
          <t>股本数量</t>
        </is>
      </c>
      <c r="B13" s="78" t="n"/>
      <c r="C13" s="78" t="n"/>
      <c r="D13" s="45" t="inlineStr">
        <is>
          <t>财务!E24 / F24</t>
        </is>
      </c>
      <c r="E13" s="46" t="n"/>
      <c r="F13" s="47" t="n"/>
    </row>
    <row r="14" ht="15" customHeight="1" s="42">
      <c r="A14" s="9" t="inlineStr">
        <is>
          <t>毛利</t>
        </is>
      </c>
      <c r="B14" s="78" t="n"/>
      <c r="C14" s="78" t="n"/>
      <c r="D14" s="45" t="inlineStr">
        <is>
          <t>财务!E8 / F8</t>
        </is>
      </c>
      <c r="E14" s="46" t="n"/>
      <c r="F14" s="47" t="n"/>
    </row>
    <row r="15" ht="15" customHeight="1" s="42">
      <c r="A15" s="9" t="inlineStr">
        <is>
          <t>营业收入</t>
        </is>
      </c>
      <c r="B15" s="78" t="n"/>
      <c r="C15" s="78" t="n"/>
      <c r="D15" s="45" t="inlineStr">
        <is>
          <t>财务!E7 / F7</t>
        </is>
      </c>
      <c r="E15" s="46" t="n"/>
      <c r="F15" s="47" t="n"/>
    </row>
    <row r="16" ht="15" customHeight="1" s="42">
      <c r="A16" s="9" t="inlineStr">
        <is>
          <t>留存收益</t>
        </is>
      </c>
      <c r="B16" s="78" t="n"/>
      <c r="C16" s="78" t="n"/>
      <c r="D16" s="45" t="inlineStr">
        <is>
          <t>Z 分数用</t>
        </is>
      </c>
      <c r="E16" s="46" t="n"/>
      <c r="F16" s="47" t="n"/>
    </row>
    <row r="17" ht="15" customHeight="1" s="42">
      <c r="A17" s="9" t="inlineStr">
        <is>
          <t>EBIT / 营业利润</t>
        </is>
      </c>
      <c r="B17" s="78" t="n"/>
      <c r="C17" s="78" t="n"/>
      <c r="D17" s="45" t="inlineStr">
        <is>
          <t>Z 分数用</t>
        </is>
      </c>
      <c r="E17" s="46" t="n"/>
      <c r="F17" s="47" t="n"/>
    </row>
    <row r="18" ht="15" customHeight="1" s="42">
      <c r="A18" s="9" t="inlineStr">
        <is>
          <t>总负债</t>
        </is>
      </c>
      <c r="B18" s="78" t="n"/>
      <c r="C18" s="78" t="n"/>
      <c r="D18" s="45" t="inlineStr">
        <is>
          <t>Z / M 用</t>
        </is>
      </c>
      <c r="E18" s="46" t="n"/>
      <c r="F18" s="47" t="n"/>
    </row>
    <row r="19" ht="15" customHeight="1" s="42">
      <c r="A19" s="9" t="inlineStr">
        <is>
          <t>股权市值</t>
        </is>
      </c>
      <c r="B19" s="78" t="n"/>
      <c r="C19" s="78" t="n"/>
      <c r="D19" s="45" t="inlineStr">
        <is>
          <t>现价×股本，Z 的 X4</t>
        </is>
      </c>
      <c r="E19" s="46" t="n"/>
      <c r="F19" s="47" t="n"/>
    </row>
    <row r="20" ht="15" customHeight="1" s="42">
      <c r="A20" s="9" t="inlineStr">
        <is>
          <t>营运资本</t>
        </is>
      </c>
      <c r="B20" s="78" t="n"/>
      <c r="C20" s="78" t="n"/>
      <c r="D20" s="45" t="inlineStr">
        <is>
          <t>留空则用右边自动值</t>
        </is>
      </c>
      <c r="E20" s="82">
        <f>IF(C20&lt;&gt;"",C20,IF(OR(C11="",C12=""),"",C11-C12))</f>
        <v/>
      </c>
      <c r="F20" s="45" t="inlineStr">
        <is>
          <t>本年营运资本(用于Z)</t>
        </is>
      </c>
    </row>
    <row r="21" ht="15" customHeight="1" s="42">
      <c r="A21" s="9" t="inlineStr">
        <is>
          <t>应收账款</t>
        </is>
      </c>
      <c r="B21" s="78" t="n"/>
      <c r="C21" s="78" t="n"/>
      <c r="D21" s="45" t="inlineStr">
        <is>
          <t>M 分数用</t>
        </is>
      </c>
      <c r="E21" s="46" t="n"/>
      <c r="F21" s="47" t="n"/>
    </row>
    <row r="22" ht="15" customHeight="1" s="42">
      <c r="A22" s="9" t="inlineStr">
        <is>
          <t>固定资产净额 PPE</t>
        </is>
      </c>
      <c r="B22" s="78" t="n"/>
      <c r="C22" s="78" t="n"/>
      <c r="D22" s="45" t="inlineStr">
        <is>
          <t>M 分数用</t>
        </is>
      </c>
      <c r="E22" s="46" t="n"/>
      <c r="F22" s="47" t="n"/>
    </row>
    <row r="23" ht="15" customHeight="1" s="42">
      <c r="A23" s="9" t="inlineStr">
        <is>
          <t>折旧</t>
        </is>
      </c>
      <c r="B23" s="78" t="n"/>
      <c r="C23" s="78" t="n"/>
      <c r="D23" s="45" t="inlineStr">
        <is>
          <t>M 分数用</t>
        </is>
      </c>
      <c r="E23" s="46" t="n"/>
      <c r="F23" s="47" t="n"/>
    </row>
    <row r="24" ht="15" customHeight="1" s="42">
      <c r="A24" s="9" t="inlineStr">
        <is>
          <t>销售管理费用</t>
        </is>
      </c>
      <c r="B24" s="78" t="n"/>
      <c r="C24" s="78" t="n"/>
      <c r="D24" s="45" t="inlineStr">
        <is>
          <t>M 分数用；没有可留空</t>
        </is>
      </c>
      <c r="E24" s="46" t="n"/>
      <c r="F24" s="47" t="n"/>
    </row>
    <row r="25"/>
    <row r="26" ht="22.05" customHeight="1" s="42">
      <c r="A26" s="64" t="inlineStr">
        <is>
          <t>一键带入财务表最近两年（可覆盖上面黄格：把下面公式复制到 B7:C15）</t>
        </is>
      </c>
    </row>
    <row r="27">
      <c r="A27" s="45" t="inlineStr">
        <is>
          <t>提示</t>
        </is>
      </c>
      <c r="B27" s="45" t="inlineStr">
        <is>
          <t>不想手工抄：把 B7 改成 =财务!E11，C7 改成 =财务!F11，其余科目同样从财务表 E/F 列引用。改完字体会变绿，这是正常的。</t>
        </is>
      </c>
      <c r="C27" s="46" t="n"/>
      <c r="D27" s="46" t="n"/>
      <c r="E27" s="46" t="n"/>
      <c r="F27" s="47" t="n"/>
    </row>
    <row r="28"/>
    <row r="29" ht="22.05" customHeight="1" s="42">
      <c r="A29" s="64" t="inlineStr">
        <is>
          <t>B. Piotroski F-Score（9 项，变好=1）</t>
        </is>
      </c>
    </row>
    <row r="30" ht="22.05" customHeight="1" s="42">
      <c r="A30" s="51" t="inlineStr">
        <is>
          <t>代码</t>
        </is>
      </c>
      <c r="B30" s="51" t="inlineStr">
        <is>
          <t>条件</t>
        </is>
      </c>
      <c r="C30" s="51" t="inlineStr">
        <is>
          <t>得分</t>
        </is>
      </c>
      <c r="D30" s="51" t="inlineStr">
        <is>
          <t>计算说明</t>
        </is>
      </c>
      <c r="E30" s="46" t="n"/>
      <c r="F30" s="47" t="n"/>
    </row>
    <row r="31" ht="15" customHeight="1" s="42">
      <c r="A31" s="2" t="inlineStr">
        <is>
          <t>F1</t>
        </is>
      </c>
      <c r="B31" s="55" t="inlineStr">
        <is>
          <t>ROA &gt; 0</t>
        </is>
      </c>
      <c r="C31" s="23">
        <f>IF(OR(C7="",C8="",C8=0),"",IF(C7/C8&gt;0,1,0))</f>
        <v/>
      </c>
      <c r="D31" s="45" t="inlineStr">
        <is>
          <t>本年净利润/总资产&gt;0</t>
        </is>
      </c>
      <c r="E31" s="46" t="n"/>
      <c r="F31" s="47" t="n"/>
    </row>
    <row r="32" ht="15" customHeight="1" s="42">
      <c r="A32" s="2" t="inlineStr">
        <is>
          <t>F2</t>
        </is>
      </c>
      <c r="B32" s="55" t="inlineStr">
        <is>
          <t>CFO &gt; 0</t>
        </is>
      </c>
      <c r="C32" s="23">
        <f>IF(C9="","",IF(C9&gt;0,1,0))</f>
        <v/>
      </c>
      <c r="D32" s="45" t="inlineStr">
        <is>
          <t>经营现金流&gt;0</t>
        </is>
      </c>
      <c r="E32" s="46" t="n"/>
      <c r="F32" s="47" t="n"/>
    </row>
    <row r="33" ht="15" customHeight="1" s="42">
      <c r="A33" s="2" t="inlineStr">
        <is>
          <t>F3</t>
        </is>
      </c>
      <c r="B33" s="55" t="inlineStr">
        <is>
          <t>ΔROA &gt; 0</t>
        </is>
      </c>
      <c r="C33" s="23">
        <f>IF(OR(B7="",B8="",B8=0,C7="",C8="",C8=0),"",IF(C7/C8&gt;B7/B8,1,0))</f>
        <v/>
      </c>
      <c r="D33" s="45" t="inlineStr">
        <is>
          <t>ROA 改善</t>
        </is>
      </c>
      <c r="E33" s="46" t="n"/>
      <c r="F33" s="47" t="n"/>
    </row>
    <row r="34" ht="15" customHeight="1" s="42">
      <c r="A34" s="2" t="inlineStr">
        <is>
          <t>F4</t>
        </is>
      </c>
      <c r="B34" s="55" t="inlineStr">
        <is>
          <t>CFO &gt; 净利润</t>
        </is>
      </c>
      <c r="C34" s="23">
        <f>IF(OR(C9="",C7=""),"",IF(C9&gt;C7,1,0))</f>
        <v/>
      </c>
      <c r="D34" s="45" t="inlineStr">
        <is>
          <t>应计为负（现金质量）</t>
        </is>
      </c>
      <c r="E34" s="46" t="n"/>
      <c r="F34" s="47" t="n"/>
    </row>
    <row r="35" ht="15" customHeight="1" s="42">
      <c r="A35" s="2" t="inlineStr">
        <is>
          <t>F5</t>
        </is>
      </c>
      <c r="B35" s="55" t="inlineStr">
        <is>
          <t>杠杆下降</t>
        </is>
      </c>
      <c r="C35" s="23">
        <f>IF(OR(B10="",B8="",B8=0,C10="",C8="",C8=0),"",IF(C10/C8&lt;B10/B8,1,0))</f>
        <v/>
      </c>
      <c r="D35" s="45" t="inlineStr">
        <is>
          <t>有息负债/资产下降</t>
        </is>
      </c>
      <c r="E35" s="46" t="n"/>
      <c r="F35" s="47" t="n"/>
    </row>
    <row r="36" ht="15" customHeight="1" s="42">
      <c r="A36" s="2" t="inlineStr">
        <is>
          <t>F6</t>
        </is>
      </c>
      <c r="B36" s="55" t="inlineStr">
        <is>
          <t>流动比率上升</t>
        </is>
      </c>
      <c r="C36" s="23">
        <f>IF(OR(B11="",B12="",B12=0,C11="",C12="",C12=0),"",IF(C11/C12&gt;B11/B12,1,0))</f>
        <v/>
      </c>
      <c r="D36" s="45" t="inlineStr">
        <is>
          <t>CA/CL 改善</t>
        </is>
      </c>
      <c r="E36" s="46" t="n"/>
      <c r="F36" s="47" t="n"/>
    </row>
    <row r="37" ht="15" customHeight="1" s="42">
      <c r="A37" s="2" t="inlineStr">
        <is>
          <t>F7</t>
        </is>
      </c>
      <c r="B37" s="55" t="inlineStr">
        <is>
          <t>未增发</t>
        </is>
      </c>
      <c r="C37" s="23">
        <f>IF(OR(B13="",C13=""),"",IF(C13&lt;=B13,1,0))</f>
        <v/>
      </c>
      <c r="D37" s="45" t="inlineStr">
        <is>
          <t>股本未增加</t>
        </is>
      </c>
      <c r="E37" s="46" t="n"/>
      <c r="F37" s="47" t="n"/>
    </row>
    <row r="38" ht="15" customHeight="1" s="42">
      <c r="A38" s="2" t="inlineStr">
        <is>
          <t>F8</t>
        </is>
      </c>
      <c r="B38" s="55" t="inlineStr">
        <is>
          <t>毛利率改善</t>
        </is>
      </c>
      <c r="C38" s="23">
        <f>IF(OR(B14="",B15="",B15=0,C14="",C15="",C15=0),"",IF(C14/C15&gt;B14/B15,1,0))</f>
        <v/>
      </c>
      <c r="D38" s="45" t="inlineStr">
        <is>
          <t>毛利/收入上升</t>
        </is>
      </c>
      <c r="E38" s="46" t="n"/>
      <c r="F38" s="47" t="n"/>
    </row>
    <row r="39" ht="15" customHeight="1" s="42">
      <c r="A39" s="2" t="inlineStr">
        <is>
          <t>F9</t>
        </is>
      </c>
      <c r="B39" s="55" t="inlineStr">
        <is>
          <t>周转改善</t>
        </is>
      </c>
      <c r="C39" s="23">
        <f>IF(OR(B15="",B8="",B8=0,C15="",C8="",C8=0),"",IF(C15/C8&gt;B15/B8,1,0))</f>
        <v/>
      </c>
      <c r="D39" s="45" t="inlineStr">
        <is>
          <t>收入/资产上升</t>
        </is>
      </c>
      <c r="E39" s="46" t="n"/>
      <c r="F39" s="47" t="n"/>
    </row>
    <row r="40" ht="15" customHeight="1" s="42">
      <c r="A40" s="9" t="inlineStr">
        <is>
          <t>F-Score 合计</t>
        </is>
      </c>
      <c r="B40" s="23">
        <f>SUM(C31:C39)</f>
        <v/>
      </c>
      <c r="C40" s="24">
        <f>IF(COUNT(C31:C39)&lt;9,"缺项，仅供参考",IF(B40&gt;=8,"强",IF(B40&lt;=3,"弱","中")))</f>
        <v/>
      </c>
      <c r="D40" s="45" t="inlineStr">
        <is>
          <t>8–9 强；0–3 弱。只看趋势质量，不看贵贱。</t>
        </is>
      </c>
      <c r="E40" s="46" t="n"/>
      <c r="F40" s="47" t="n"/>
    </row>
    <row r="41"/>
    <row r="42" ht="22.05" customHeight="1" s="42">
      <c r="A42" s="64" t="inlineStr">
        <is>
          <t>C. Altman Z-Score（非金融）</t>
        </is>
      </c>
    </row>
    <row r="43" ht="15" customHeight="1" s="42">
      <c r="A43" s="9" t="inlineStr">
        <is>
          <t>模型</t>
        </is>
      </c>
      <c r="B43" s="48" t="inlineStr">
        <is>
          <t>原版制造业</t>
        </is>
      </c>
      <c r="C43" s="45" t="inlineStr">
        <is>
          <t>原版：Z=1.2X1+1.4X2+3.3X3+0.6X4+1.0X5。非制造：6.56X1+3.26X2+6.72X3+1.05X4。</t>
        </is>
      </c>
      <c r="D43" s="46" t="n"/>
      <c r="E43" s="46" t="n"/>
      <c r="F43" s="47" t="n"/>
    </row>
    <row r="44" ht="15" customHeight="1" s="42">
      <c r="A44" s="55" t="inlineStr">
        <is>
          <t>X1 营运资本/总资产</t>
        </is>
      </c>
      <c r="B44" s="32">
        <f>IF(OR(E20="",C8="",C8=0),"",E20/C8)</f>
        <v/>
      </c>
    </row>
    <row r="45" ht="15" customHeight="1" s="42">
      <c r="A45" s="55" t="inlineStr">
        <is>
          <t>X2 留存收益/总资产</t>
        </is>
      </c>
      <c r="B45" s="32">
        <f>IF(OR(C16="",C8="",C8=0),"",C16/C8)</f>
        <v/>
      </c>
    </row>
    <row r="46" ht="15" customHeight="1" s="42">
      <c r="A46" s="55" t="inlineStr">
        <is>
          <t>X3 EBIT/总资产</t>
        </is>
      </c>
      <c r="B46" s="32">
        <f>IF(OR(C17="",C8="",C8=0),"",C17/C8)</f>
        <v/>
      </c>
    </row>
    <row r="47" ht="15" customHeight="1" s="42">
      <c r="A47" s="55" t="inlineStr">
        <is>
          <t>X4 市值/总负债</t>
        </is>
      </c>
      <c r="B47" s="32">
        <f>IF(OR(C19="",C18="",C18=0),"",C19/C18)</f>
        <v/>
      </c>
    </row>
    <row r="48" ht="15" customHeight="1" s="42">
      <c r="A48" s="55" t="inlineStr">
        <is>
          <t>X5 营收/总资产</t>
        </is>
      </c>
      <c r="B48" s="32">
        <f>IF(OR(C15="",C8="",C8=0),"",C15/C8)</f>
        <v/>
      </c>
    </row>
    <row r="49" ht="15" customHeight="1" s="42">
      <c r="A49" s="9" t="inlineStr">
        <is>
          <t>Z-Score</t>
        </is>
      </c>
      <c r="B49" s="32">
        <f>IF(B43="非制造/新兴",IF(COUNT(B44:B47)&lt;4,"",6.56*B44+3.26*B45+6.72*B46+1.05*B47),IF(COUNT(B44:B48)&lt;5,"",1.2*B44+1.4*B45+3.3*B46+0.6*B47+1*B48))</f>
        <v/>
      </c>
      <c r="C49" s="24">
        <f>IF(B49="","",IF(B43="非制造/新兴",IF(B49&gt;2.6,"较安全",IF(B49&lt;1.1,"困境区","灰区")),IF(B49&gt;2.99,"较安全",IF(B49&lt;1.81,"困境区","灰区"))))</f>
        <v/>
      </c>
      <c r="D49" s="45" t="inlineStr">
        <is>
          <t>银行/保险/REITs 不要用。灰区需要看利息覆盖和短债。</t>
        </is>
      </c>
      <c r="E49" s="46" t="n"/>
      <c r="F49" s="47" t="n"/>
    </row>
    <row r="50"/>
    <row r="51" ht="22.05" customHeight="1" s="42">
      <c r="A51" s="64" t="inlineStr">
        <is>
          <t>D. Beneish M-Score</t>
        </is>
      </c>
    </row>
    <row r="52" ht="22.05" customHeight="1" s="42">
      <c r="A52" s="51" t="inlineStr">
        <is>
          <t>指标</t>
        </is>
      </c>
      <c r="B52" s="51" t="inlineStr">
        <is>
          <t>公式</t>
        </is>
      </c>
      <c r="C52" s="51" t="inlineStr">
        <is>
          <t>数值</t>
        </is>
      </c>
      <c r="D52" s="51" t="inlineStr">
        <is>
          <t>含义</t>
        </is>
      </c>
      <c r="E52" s="46" t="n"/>
      <c r="F52" s="47" t="n"/>
    </row>
    <row r="53" ht="20" customHeight="1" s="42">
      <c r="A53" s="2" t="inlineStr">
        <is>
          <t>DSRI</t>
        </is>
      </c>
      <c r="B53" s="83">
        <f>IF(OR(B21="",B15="",B15=0,C21="",C15="",C15=0),"",(C21/C15)/(B21/B15))</f>
        <v/>
      </c>
      <c r="C53" s="45" t="inlineStr">
        <is>
          <t>应收/收入 是否异常上升</t>
        </is>
      </c>
      <c r="D53" s="46" t="n"/>
      <c r="E53" s="46" t="n"/>
      <c r="F53" s="47" t="n"/>
    </row>
    <row r="54" ht="20" customHeight="1" s="42">
      <c r="A54" s="2" t="inlineStr">
        <is>
          <t>GMI</t>
        </is>
      </c>
      <c r="B54" s="83">
        <f>IF(OR(B14="",B15="",B15=0,C14="",C15="",C15=0),"",(B14/B15)/(C14/C15))</f>
        <v/>
      </c>
      <c r="C54" s="45" t="inlineStr">
        <is>
          <t>毛利率恶化&gt;1</t>
        </is>
      </c>
      <c r="D54" s="46" t="n"/>
      <c r="E54" s="46" t="n"/>
      <c r="F54" s="47" t="n"/>
    </row>
    <row r="55" ht="20" customHeight="1" s="42">
      <c r="A55" s="2" t="inlineStr">
        <is>
          <t>AQI</t>
        </is>
      </c>
      <c r="B55" s="83">
        <f>IF(COUNTA(B11,B22,B8,C11,C22,C8)&lt;6,"",IF(OR(B8=0,C8=0),"",IF((1-(B11+B22)/B8)=0,"",(1-(C11+C22)/C8)/(1-(B11+B22)/B8))))</f>
        <v/>
      </c>
      <c r="C55" s="45" t="inlineStr">
        <is>
          <t>资产质量下降</t>
        </is>
      </c>
      <c r="D55" s="46" t="n"/>
      <c r="E55" s="46" t="n"/>
      <c r="F55" s="47" t="n"/>
    </row>
    <row r="56" ht="20" customHeight="1" s="42">
      <c r="A56" s="2" t="inlineStr">
        <is>
          <t>SGI</t>
        </is>
      </c>
      <c r="B56" s="83">
        <f>IF(OR(B15="",B15=0,C15=""),"",C15/B15)</f>
        <v/>
      </c>
      <c r="C56" s="45" t="inlineStr">
        <is>
          <t>收入增长</t>
        </is>
      </c>
      <c r="D56" s="46" t="n"/>
      <c r="E56" s="46" t="n"/>
      <c r="F56" s="47" t="n"/>
    </row>
    <row r="57" ht="20" customHeight="1" s="42">
      <c r="A57" s="2" t="inlineStr">
        <is>
          <t>DEPI</t>
        </is>
      </c>
      <c r="B57" s="83">
        <f>IF(OR(B23="",B22="",C23="",C22="",(C23+C22)=0,(B23+B22)=0),"",(B23/(B23+B22))/(C23/(C23+C22)))</f>
        <v/>
      </c>
      <c r="C57" s="45" t="inlineStr">
        <is>
          <t>折旧变慢&gt;1</t>
        </is>
      </c>
      <c r="D57" s="46" t="n"/>
      <c r="E57" s="46" t="n"/>
      <c r="F57" s="47" t="n"/>
    </row>
    <row r="58" ht="20" customHeight="1" s="42">
      <c r="A58" s="2" t="inlineStr">
        <is>
          <t>SGAI</t>
        </is>
      </c>
      <c r="B58" s="83">
        <f>IF(OR(B24="",B15="",B15=0,C24="",C15="",C15=0),"",(C24/C15)/(B24/B15))</f>
        <v/>
      </c>
      <c r="C58" s="45" t="inlineStr">
        <is>
          <t>费用率上升</t>
        </is>
      </c>
      <c r="D58" s="46" t="n"/>
      <c r="E58" s="46" t="n"/>
      <c r="F58" s="47" t="n"/>
    </row>
    <row r="59" ht="20" customHeight="1" s="42">
      <c r="A59" s="2" t="inlineStr">
        <is>
          <t>TATA</t>
        </is>
      </c>
      <c r="B59" s="83">
        <f>IF(OR(C7="",C9="",C8="",C8=0),"",(C7-C9)/C8)</f>
        <v/>
      </c>
      <c r="C59" s="45" t="inlineStr">
        <is>
          <t>应计利润/资产</t>
        </is>
      </c>
      <c r="D59" s="46" t="n"/>
      <c r="E59" s="46" t="n"/>
      <c r="F59" s="47" t="n"/>
    </row>
    <row r="60" ht="20" customHeight="1" s="42">
      <c r="A60" s="2" t="inlineStr">
        <is>
          <t>LVGI</t>
        </is>
      </c>
      <c r="B60" s="83">
        <f>IF(OR(B18="",B8="",B8=0,C18="",C8="",C8=0),"",(C18/C8)/(B18/B8))</f>
        <v/>
      </c>
      <c r="C60" s="45" t="inlineStr">
        <is>
          <t>杠杆上升</t>
        </is>
      </c>
      <c r="D60" s="46" t="n"/>
      <c r="E60" s="46" t="n"/>
      <c r="F60" s="47" t="n"/>
    </row>
    <row r="61"/>
    <row r="62" ht="15" customHeight="1" s="42">
      <c r="A62" s="9" t="inlineStr">
        <is>
          <t>M-Score</t>
        </is>
      </c>
      <c r="B62" s="32">
        <f>IF(COUNT(B53:B60)&lt;6,"",-4.84+0.92*IF(B53="",0,B53)+0.528*IF(B54="",0,B54)+0.404*IF(B55="",0,B55)+0.892*IF(B56="",0,B56)+0.115*IF(B57="",0,B57)-0.172*IF(B58="",0,B58)+4.679*IF(B59="",0,B59)-0.327*IF(B60="",0,B60))</f>
        <v/>
      </c>
      <c r="C62" s="24">
        <f>IF(B62="","缺项",IF(B62&gt;-1.78,"警惕：疑似盈余操纵","未触发阈值"))</f>
        <v/>
      </c>
      <c r="D62" s="45" t="inlineStr">
        <is>
          <t>经典阈值 M &gt; -1.78。高增长易假阳性；安然也曾漏报，不能单靠它。</t>
        </is>
      </c>
      <c r="E62" s="46" t="n"/>
      <c r="F62" s="47" t="n"/>
    </row>
    <row r="63"/>
    <row r="64" ht="22.05" customHeight="1" s="42">
      <c r="A64" s="64" t="inlineStr">
        <is>
          <t>给封面用的输出锚点（勿改）</t>
        </is>
      </c>
    </row>
    <row r="65" ht="15" customHeight="1" s="42">
      <c r="A65" s="34" t="inlineStr">
        <is>
          <t>F_SCORE</t>
        </is>
      </c>
      <c r="B65" s="15">
        <f>B40</f>
        <v/>
      </c>
    </row>
    <row r="66" ht="15" customHeight="1" s="42">
      <c r="A66" s="34" t="inlineStr">
        <is>
          <t>Z_SCORE</t>
        </is>
      </c>
      <c r="B66" s="16">
        <f>B49</f>
        <v/>
      </c>
    </row>
    <row r="67" ht="15" customHeight="1" s="42">
      <c r="A67" s="34" t="inlineStr">
        <is>
          <t>M_SCORE</t>
        </is>
      </c>
      <c r="B67" s="16">
        <f>B62</f>
        <v/>
      </c>
    </row>
  </sheetData>
  <mergeCells count="51">
    <mergeCell ref="D13:F13"/>
    <mergeCell ref="D11:F11"/>
    <mergeCell ref="D32:F32"/>
    <mergeCell ref="D17:F17"/>
    <mergeCell ref="D7:F7"/>
    <mergeCell ref="A26:F26"/>
    <mergeCell ref="A3:F3"/>
    <mergeCell ref="C57:F57"/>
    <mergeCell ref="D16:F16"/>
    <mergeCell ref="B27:F27"/>
    <mergeCell ref="A2:F2"/>
    <mergeCell ref="C53:F53"/>
    <mergeCell ref="A42:F42"/>
    <mergeCell ref="D37:F37"/>
    <mergeCell ref="A5:F5"/>
    <mergeCell ref="D62:F62"/>
    <mergeCell ref="D12:F12"/>
    <mergeCell ref="D18:F18"/>
    <mergeCell ref="D9:F9"/>
    <mergeCell ref="D30:F30"/>
    <mergeCell ref="D39:F39"/>
    <mergeCell ref="C58:F58"/>
    <mergeCell ref="D15:F15"/>
    <mergeCell ref="A29:F29"/>
    <mergeCell ref="D33:F33"/>
    <mergeCell ref="D8:F8"/>
    <mergeCell ref="D24:F24"/>
    <mergeCell ref="D38:F38"/>
    <mergeCell ref="D14:F14"/>
    <mergeCell ref="E6:F6"/>
    <mergeCell ref="D23:F23"/>
    <mergeCell ref="D35:F35"/>
    <mergeCell ref="C54:F54"/>
    <mergeCell ref="C55:F55"/>
    <mergeCell ref="A64:F64"/>
    <mergeCell ref="D34:F34"/>
    <mergeCell ref="D10:F10"/>
    <mergeCell ref="A51:F51"/>
    <mergeCell ref="D19:F19"/>
    <mergeCell ref="C56:F56"/>
    <mergeCell ref="D31:F31"/>
    <mergeCell ref="C43:F43"/>
    <mergeCell ref="A1:F1"/>
    <mergeCell ref="D22:F22"/>
    <mergeCell ref="D40:F40"/>
    <mergeCell ref="D36:F36"/>
    <mergeCell ref="C59:F59"/>
    <mergeCell ref="D52:F52"/>
    <mergeCell ref="D21:F21"/>
    <mergeCell ref="C60:F60"/>
    <mergeCell ref="D49:F49"/>
  </mergeCells>
  <dataValidations count="1">
    <dataValidation sqref="B43" showDropDown="0" showInputMessage="0" showErrorMessage="0" allowBlank="1" errorTitle="无效输入" error="请从下拉列表选择" promptTitle="填写" prompt="从列表选择" type="list">
      <formula1>"原版制造业,非制造/新兴"</formula1>
    </dataValidation>
  </dataValidations>
  <printOptions horizontalCentered="1"/>
  <pageMargins left="0.5" right="0.5" top="0.6" bottom="0.6" header="0.5" footer="0.5"/>
  <pageSetup orientation="portrait" paperSize="9" fitToHeight="0"/>
</worksheet>
</file>

<file path=xl/worksheets/sheet6.xml><?xml version="1.0" encoding="utf-8"?>
<worksheet xmlns="http://schemas.openxmlformats.org/spreadsheetml/2006/main">
  <sheetPr>
    <tabColor rgb="FF7030A0"/>
    <outlinePr summaryBelow="1" summaryRight="1"/>
    <pageSetUpPr fitToPage="1"/>
  </sheetPr>
  <dimension ref="A1:F41"/>
  <sheetViews>
    <sheetView showGridLines="0" workbookViewId="0">
      <pane ySplit="1" topLeftCell="A2" activePane="bottomLeft" state="frozen"/>
      <selection pane="bottomLeft" activeCell="A1" sqref="A1"/>
    </sheetView>
  </sheetViews>
  <sheetFormatPr baseColWidth="8" defaultRowHeight="13.5"/>
  <cols>
    <col width="18" customWidth="1" style="42" min="1" max="1"/>
    <col width="16" customWidth="1" style="42" min="2" max="5"/>
    <col width="28" customWidth="1" style="42" min="6" max="6"/>
  </cols>
  <sheetData>
    <row r="1" ht="28.05" customHeight="1" s="42">
      <c r="A1" s="63" t="inlineStr">
        <is>
          <t>护城河与估值  ·  给区间，不给神预测</t>
        </is>
      </c>
      <c r="B1" s="46" t="n"/>
      <c r="C1" s="46" t="n"/>
      <c r="D1" s="46" t="n"/>
      <c r="E1" s="46" t="n"/>
      <c r="F1" s="47" t="n"/>
    </row>
    <row r="2">
      <c r="A2" s="58">
        <f>"标的："&amp;IF(封面!B5="","（先填封面）",封面!B5&amp;"  现价 "&amp;TEXT(封面!B9,"#,##0.00")&amp;封面!B10)</f>
        <v/>
      </c>
      <c r="B2" s="46" t="n"/>
      <c r="C2" s="46" t="n"/>
      <c r="D2" s="46" t="n"/>
      <c r="E2" s="46" t="n"/>
      <c r="F2" s="47" t="n"/>
    </row>
    <row r="3" ht="36" customHeight="1" s="42">
      <c r="A3" s="49" t="inlineStr">
        <is>
          <t>相对估值看分位和同行；绝对估值用三情景。黄格填假设。隐含价格默认 = 情景EPS × 情景PE，也可直接覆盖「隐含价格」。</t>
        </is>
      </c>
    </row>
    <row r="4"/>
    <row r="5" ht="22.05" customHeight="1" s="42">
      <c r="A5" s="64" t="inlineStr">
        <is>
          <t>A. 护城河（Morningstar 五源，可多选）</t>
        </is>
      </c>
    </row>
    <row r="6" ht="22.05" customHeight="1" s="42">
      <c r="A6" s="51" t="inlineStr">
        <is>
          <t>来源</t>
        </is>
      </c>
      <c r="B6" s="51" t="inlineStr">
        <is>
          <t>有/无/弱</t>
        </is>
      </c>
      <c r="C6" s="51" t="inlineStr">
        <is>
          <t>证据（财务或业务）</t>
        </is>
      </c>
      <c r="D6" s="47" t="n"/>
      <c r="E6" s="51" t="n"/>
      <c r="F6" s="47" t="n"/>
    </row>
    <row r="7" ht="24" customHeight="1" s="42">
      <c r="A7" s="9" t="inlineStr">
        <is>
          <t>无形资产（品牌/专利/牌照）</t>
        </is>
      </c>
      <c r="B7" s="48" t="inlineStr">
        <is>
          <t>待判</t>
        </is>
      </c>
      <c r="C7" s="41" t="n"/>
      <c r="D7" s="47" t="n"/>
      <c r="E7" s="45" t="inlineStr">
        <is>
          <t>溢价能否维持、续期/诉讼</t>
        </is>
      </c>
      <c r="F7" s="47" t="n"/>
    </row>
    <row r="8" ht="24" customHeight="1" s="42">
      <c r="A8" s="9" t="inlineStr">
        <is>
          <t>转换成本</t>
        </is>
      </c>
      <c r="B8" s="48" t="inlineStr">
        <is>
          <t>待判</t>
        </is>
      </c>
      <c r="C8" s="41" t="n"/>
      <c r="D8" s="47" t="n"/>
      <c r="E8" s="45" t="inlineStr">
        <is>
          <t>续约率、churn、客户集中度</t>
        </is>
      </c>
      <c r="F8" s="47" t="n"/>
    </row>
    <row r="9" ht="24" customHeight="1" s="42">
      <c r="A9" s="9" t="inlineStr">
        <is>
          <t>网络效应</t>
        </is>
      </c>
      <c r="B9" s="48" t="inlineStr">
        <is>
          <t>待判</t>
        </is>
      </c>
      <c r="C9" s="41" t="n"/>
      <c r="D9" s="47" t="n"/>
      <c r="E9" s="45" t="inlineStr">
        <is>
          <t>双边增长是否还在加速</t>
        </is>
      </c>
      <c r="F9" s="47" t="n"/>
    </row>
    <row r="10" ht="24" customHeight="1" s="42">
      <c r="A10" s="9" t="inlineStr">
        <is>
          <t>成本优势</t>
        </is>
      </c>
      <c r="B10" s="48" t="inlineStr">
        <is>
          <t>待判</t>
        </is>
      </c>
      <c r="C10" s="41" t="n"/>
      <c r="D10" s="47" t="n"/>
      <c r="E10" s="45" t="inlineStr">
        <is>
          <t>单位成本 vs 同行、产能利用率</t>
        </is>
      </c>
      <c r="F10" s="47" t="n"/>
    </row>
    <row r="11" ht="24" customHeight="1" s="42">
      <c r="A11" s="9" t="inlineStr">
        <is>
          <t>有效规模（利基）</t>
        </is>
      </c>
      <c r="B11" s="48" t="inlineStr">
        <is>
          <t>待判</t>
        </is>
      </c>
      <c r="C11" s="41" t="n"/>
      <c r="D11" s="47" t="n"/>
      <c r="E11" s="45" t="inlineStr">
        <is>
          <t>新进入者是否长期亏钱</t>
        </is>
      </c>
      <c r="F11" s="47" t="n"/>
    </row>
    <row r="12" ht="14.65" customHeight="1" s="42">
      <c r="A12" s="9" t="inlineStr">
        <is>
          <t>定量锚</t>
        </is>
      </c>
      <c r="B12" s="41" t="inlineStr">
        <is>
          <t>ROIC 是否在完整周期高于 WACC？再投资能否继续获得超额回报？</t>
        </is>
      </c>
      <c r="C12" s="46" t="n"/>
      <c r="D12" s="46" t="n"/>
      <c r="E12" s="46" t="n"/>
      <c r="F12" s="47" t="n"/>
    </row>
    <row r="13"/>
    <row r="14" ht="22.05" customHeight="1" s="42">
      <c r="A14" s="64" t="inlineStr">
        <is>
          <t>B. 相对估值</t>
        </is>
      </c>
    </row>
    <row r="15" ht="22.05" customHeight="1" s="42">
      <c r="A15" s="51" t="inlineStr">
        <is>
          <t>倍数</t>
        </is>
      </c>
      <c r="B15" s="51" t="inlineStr">
        <is>
          <t>当前</t>
        </is>
      </c>
      <c r="C15" s="51" t="inlineStr">
        <is>
          <t>自身 5 年中位</t>
        </is>
      </c>
      <c r="D15" s="51" t="inlineStr">
        <is>
          <t>同行中位</t>
        </is>
      </c>
      <c r="E15" s="51" t="inlineStr">
        <is>
          <t>分位含义</t>
        </is>
      </c>
      <c r="F15" s="51" t="inlineStr">
        <is>
          <t>更适合</t>
        </is>
      </c>
    </row>
    <row r="16" ht="15" customHeight="1" s="42">
      <c r="A16" s="9" t="inlineStr">
        <is>
          <t>PE</t>
        </is>
      </c>
      <c r="B16" s="35" t="n"/>
      <c r="C16" s="35" t="n"/>
      <c r="D16" s="35" t="n"/>
      <c r="E16" s="24">
        <f>IF(OR(B16="",C16=""),"",IF(B16&gt;C16,"高于自身中位","不高于自身中位"))</f>
        <v/>
      </c>
      <c r="F16" s="45" t="inlineStr">
        <is>
          <t>成长股、盈利稳定</t>
        </is>
      </c>
    </row>
    <row r="17" ht="15" customHeight="1" s="42">
      <c r="A17" s="9" t="inlineStr">
        <is>
          <t>PB</t>
        </is>
      </c>
      <c r="B17" s="35" t="n"/>
      <c r="C17" s="35" t="n"/>
      <c r="D17" s="35" t="n"/>
      <c r="E17" s="24">
        <f>IF(OR(B17="",C17=""),"",IF(B17&gt;C17,"高于自身中位","不高于自身中位"))</f>
        <v/>
      </c>
      <c r="F17" s="45" t="inlineStr">
        <is>
          <t>银行、周期、重资产</t>
        </is>
      </c>
    </row>
    <row r="18" ht="15" customHeight="1" s="42">
      <c r="A18" s="9" t="inlineStr">
        <is>
          <t>PEG</t>
        </is>
      </c>
      <c r="B18" s="35" t="n"/>
      <c r="C18" s="35" t="n"/>
      <c r="D18" s="35" t="n"/>
      <c r="E18" s="24">
        <f>IF(OR(B18="",C18=""),"",IF(B18&gt;C18,"高于自身中位","不高于自身中位"))</f>
        <v/>
      </c>
      <c r="F18" s="45" t="inlineStr">
        <is>
          <t>高增长</t>
        </is>
      </c>
    </row>
    <row r="19" ht="15" customHeight="1" s="42">
      <c r="A19" s="9" t="inlineStr">
        <is>
          <t>EV/EBITDA</t>
        </is>
      </c>
      <c r="B19" s="35" t="n"/>
      <c r="C19" s="35" t="n"/>
      <c r="D19" s="35" t="n"/>
      <c r="E19" s="24">
        <f>IF(OR(B19="",C19=""),"",IF(B19&gt;C19,"高于自身中位","不高于自身中位"))</f>
        <v/>
      </c>
      <c r="F19" s="45" t="inlineStr">
        <is>
          <t>资本密集、杠杆不同的同行</t>
        </is>
      </c>
    </row>
    <row r="20" ht="15" customHeight="1" s="42">
      <c r="A20" s="9" t="inlineStr">
        <is>
          <t>EV/Sales</t>
        </is>
      </c>
      <c r="B20" s="35" t="n"/>
      <c r="C20" s="35" t="n"/>
      <c r="D20" s="35" t="n"/>
      <c r="E20" s="24">
        <f>IF(OR(B20="",C20=""),"",IF(B20&gt;C20,"高于自身中位","不高于自身中位"))</f>
        <v/>
      </c>
      <c r="F20" s="45" t="inlineStr">
        <is>
          <t>尚未稳定盈利</t>
        </is>
      </c>
    </row>
    <row r="21" ht="15" customHeight="1" s="42">
      <c r="A21" s="9" t="inlineStr">
        <is>
          <t>FCF Yield</t>
        </is>
      </c>
      <c r="B21" s="35" t="n"/>
      <c r="C21" s="35" t="n"/>
      <c r="D21" s="35" t="n"/>
      <c r="E21" s="24">
        <f>IF(OR(B21="",C21=""),"",IF(B21&gt;C21,"高于自身中位","不高于自身中位"))</f>
        <v/>
      </c>
      <c r="F21" s="45" t="inlineStr">
        <is>
          <t>自由现金流可见的公司</t>
        </is>
      </c>
    </row>
    <row r="22"/>
    <row r="23" ht="22.05" customHeight="1" s="42">
      <c r="A23" s="64" t="inlineStr">
        <is>
          <t>C. 三情景（绝对/相对混合）</t>
        </is>
      </c>
    </row>
    <row r="24" ht="22.05" customHeight="1" s="42">
      <c r="A24" s="51" t="inlineStr">
        <is>
          <t>情景</t>
        </is>
      </c>
      <c r="B24" s="51" t="inlineStr">
        <is>
          <t>概率</t>
        </is>
      </c>
      <c r="C24" s="51" t="inlineStr">
        <is>
          <t>EPS 或 FCF/股</t>
        </is>
      </c>
      <c r="D24" s="51" t="inlineStr">
        <is>
          <t>倍数 PE/EV</t>
        </is>
      </c>
      <c r="E24" s="51" t="inlineStr">
        <is>
          <t>隐含价格</t>
        </is>
      </c>
      <c r="F24" s="51" t="inlineStr">
        <is>
          <t>距现价</t>
        </is>
      </c>
    </row>
    <row r="25" ht="22.05" customHeight="1" s="42">
      <c r="A25" s="36" t="inlineStr">
        <is>
          <t>Bear</t>
        </is>
      </c>
      <c r="B25" s="80" t="n">
        <v>0.25</v>
      </c>
      <c r="C25" s="78" t="n"/>
      <c r="D25" s="84" t="n"/>
      <c r="E25" s="82">
        <f>IF(OR(C25="",D25=""),"",C25*D25)</f>
        <v/>
      </c>
      <c r="F25" s="79">
        <f>IF(OR(E25="",封面!B9="",封面!B9=0),"",E25/封面!B9-1)</f>
        <v/>
      </c>
    </row>
    <row r="26" ht="22.05" customHeight="1" s="42">
      <c r="A26" s="36" t="inlineStr">
        <is>
          <t>Base</t>
        </is>
      </c>
      <c r="B26" s="80" t="n">
        <v>0.5</v>
      </c>
      <c r="C26" s="78" t="n"/>
      <c r="D26" s="84" t="n"/>
      <c r="E26" s="82">
        <f>IF(OR(C26="",D26=""),"",C26*D26)</f>
        <v/>
      </c>
      <c r="F26" s="79">
        <f>IF(OR(E26="",封面!B9="",封面!B9=0),"",E26/封面!B9-1)</f>
        <v/>
      </c>
    </row>
    <row r="27" ht="22.05" customHeight="1" s="42">
      <c r="A27" s="36" t="inlineStr">
        <is>
          <t>Bull</t>
        </is>
      </c>
      <c r="B27" s="80" t="n">
        <v>0.25</v>
      </c>
      <c r="C27" s="78" t="n"/>
      <c r="D27" s="84" t="n"/>
      <c r="E27" s="82">
        <f>IF(OR(C27="",D27=""),"",C27*D27)</f>
        <v/>
      </c>
      <c r="F27" s="79">
        <f>IF(OR(E27="",封面!B9="",封面!B9=0),"",E27/封面!B9-1)</f>
        <v/>
      </c>
    </row>
    <row r="28" ht="15" customHeight="1" s="42">
      <c r="A28" s="9" t="inlineStr">
        <is>
          <t>Base 隐含价</t>
        </is>
      </c>
      <c r="B28" s="73">
        <f>E26</f>
        <v/>
      </c>
      <c r="C28" s="73">
        <f>E26</f>
        <v/>
      </c>
      <c r="D28" s="45" t="inlineStr">
        <is>
          <t>封面读取 C28</t>
        </is>
      </c>
    </row>
    <row r="29" ht="15" customHeight="1" s="42">
      <c r="A29" s="9" t="inlineStr">
        <is>
          <t>概率加权价</t>
        </is>
      </c>
      <c r="B29" s="82">
        <f>IF(ABS(SUM(B25:B27)-1)&gt;0.02,"请检查概率合计=100%",IF(COUNT(E25:E27)&lt;3,"",SUMPRODUCT(B25:B27,E25:E27)))</f>
        <v/>
      </c>
      <c r="C29" s="73">
        <f>B29</f>
        <v/>
      </c>
    </row>
    <row r="30" ht="15" customHeight="1" s="42">
      <c r="A30" s="9" t="inlineStr">
        <is>
          <t>期望价 vs 现价</t>
        </is>
      </c>
      <c r="B30" s="79">
        <f>IF(OR(B29="",封面!B9="",封面!B9=0),"",B29/封面!B9-1)</f>
        <v/>
      </c>
      <c r="C30" s="74">
        <f>B30</f>
        <v/>
      </c>
    </row>
    <row r="31" ht="15" customHeight="1" s="42">
      <c r="A31" s="9" t="inlineStr">
        <is>
          <t>估值区间文本</t>
        </is>
      </c>
      <c r="B31" s="24">
        <f>IF(COUNT(E25:E27)&lt;3,"未完成",TEXT(MIN(E25:E27),"#,##0.00")&amp;" ~ "&amp;TEXT(MAX(E25:E27),"#,##0.00")&amp;" "&amp;封面!B10)</f>
        <v/>
      </c>
      <c r="C31" s="58">
        <f>B31</f>
        <v/>
      </c>
      <c r="D31" s="45" t="inlineStr">
        <is>
          <t>封面读取 C31。可把 E 列改成你的 DCF 价格（直接覆盖公式）。</t>
        </is>
      </c>
      <c r="E31" s="46" t="n"/>
      <c r="F31" s="47" t="n"/>
    </row>
    <row r="32"/>
    <row r="33" ht="22.05" customHeight="1" s="42">
      <c r="A33" s="64" t="inlineStr">
        <is>
          <t>D. 市场共识 vs 我的分歧</t>
        </is>
      </c>
    </row>
    <row r="34" ht="22.05" customHeight="1" s="42">
      <c r="A34" s="51" t="inlineStr">
        <is>
          <t>项目</t>
        </is>
      </c>
      <c r="B34" s="51" t="inlineStr">
        <is>
          <t>市场隐含 / 一致预期</t>
        </is>
      </c>
      <c r="C34" s="51" t="inlineStr">
        <is>
          <t>我的预期</t>
        </is>
      </c>
      <c r="D34" s="51" t="inlineStr">
        <is>
          <t>历史分位 / base rate</t>
        </is>
      </c>
      <c r="E34" s="51" t="inlineStr">
        <is>
          <t>净预期差</t>
        </is>
      </c>
      <c r="F34" s="51" t="inlineStr">
        <is>
          <t>来源</t>
        </is>
      </c>
    </row>
    <row r="35" ht="24" customHeight="1" s="42">
      <c r="A35" s="9" t="inlineStr">
        <is>
          <t>明年收入增速</t>
        </is>
      </c>
      <c r="B35" s="41" t="n"/>
      <c r="C35" s="41" t="n"/>
      <c r="D35" s="41" t="n"/>
      <c r="E35" s="41" t="n"/>
      <c r="F35" s="41" t="n"/>
    </row>
    <row r="36" ht="24" customHeight="1" s="42">
      <c r="A36" s="9" t="inlineStr">
        <is>
          <t>利润率</t>
        </is>
      </c>
      <c r="B36" s="41" t="n"/>
      <c r="C36" s="41" t="n"/>
      <c r="D36" s="41" t="n"/>
      <c r="E36" s="41" t="n"/>
      <c r="F36" s="41" t="n"/>
    </row>
    <row r="37" ht="24" customHeight="1" s="42">
      <c r="A37" s="9" t="inlineStr">
        <is>
          <t>FCF / 派息</t>
        </is>
      </c>
      <c r="B37" s="41" t="n"/>
      <c r="C37" s="41" t="n"/>
      <c r="D37" s="41" t="n"/>
      <c r="E37" s="41" t="n"/>
      <c r="F37" s="41" t="n"/>
    </row>
    <row r="38" ht="24" customHeight="1" s="42">
      <c r="A38" s="9" t="inlineStr">
        <is>
          <t>竞争格局</t>
        </is>
      </c>
      <c r="B38" s="41" t="n"/>
      <c r="C38" s="41" t="n"/>
      <c r="D38" s="41" t="n"/>
      <c r="E38" s="41" t="n"/>
      <c r="F38" s="41" t="n"/>
    </row>
    <row r="39" ht="24" customHeight="1" s="42">
      <c r="A39" s="9" t="inlineStr">
        <is>
          <t>倍数/折现率</t>
        </is>
      </c>
      <c r="B39" s="41" t="n"/>
      <c r="C39" s="41" t="n"/>
      <c r="D39" s="41" t="n"/>
      <c r="E39" s="41" t="n"/>
      <c r="F39" s="41" t="n"/>
    </row>
    <row r="40"/>
    <row r="41" ht="36" customHeight="1" s="42">
      <c r="A41" s="49" t="inlineStr">
        <is>
          <t>非金融深 DCF 可用 Damodaran fcffsimpleginzu.xlsx；金融用 divginzu.xlsx。本表只要求三情景价格，不强制完整 DCF。</t>
        </is>
      </c>
    </row>
  </sheetData>
  <mergeCells count="22">
    <mergeCell ref="A41:F41"/>
    <mergeCell ref="C6:D6"/>
    <mergeCell ref="A3:F3"/>
    <mergeCell ref="E8:F8"/>
    <mergeCell ref="A2:F2"/>
    <mergeCell ref="A33:F33"/>
    <mergeCell ref="B12:F12"/>
    <mergeCell ref="C10:D10"/>
    <mergeCell ref="E10:F10"/>
    <mergeCell ref="A14:F14"/>
    <mergeCell ref="A5:F5"/>
    <mergeCell ref="A23:F23"/>
    <mergeCell ref="C9:D9"/>
    <mergeCell ref="E9:F9"/>
    <mergeCell ref="E6:F6"/>
    <mergeCell ref="C11:D11"/>
    <mergeCell ref="E11:F11"/>
    <mergeCell ref="C8:D8"/>
    <mergeCell ref="C7:D7"/>
    <mergeCell ref="E7:F7"/>
    <mergeCell ref="D31:F31"/>
    <mergeCell ref="A1:F1"/>
  </mergeCells>
  <dataValidations count="1">
    <dataValidation sqref="B7:B11" showDropDown="0" showInputMessage="0" showErrorMessage="0" allowBlank="1" errorTitle="无效输入" error="请从下拉列表选择" promptTitle="填写" prompt="从列表选择" type="list">
      <formula1>"有,弱,无,待判"</formula1>
    </dataValidation>
  </dataValidations>
  <printOptions horizontalCentered="1"/>
  <pageMargins left="0.5" right="0.5" top="0.6" bottom="0.6" header="0.5" footer="0.5"/>
  <pageSetup orientation="portrait" paperSize="9" fitToHeight="0"/>
</worksheet>
</file>

<file path=xl/worksheets/sheet7.xml><?xml version="1.0" encoding="utf-8"?>
<worksheet xmlns="http://schemas.openxmlformats.org/spreadsheetml/2006/main">
  <sheetPr>
    <tabColor rgb="FFBF8F00"/>
    <outlinePr summaryBelow="1" summaryRight="1"/>
    <pageSetUpPr fitToPage="1"/>
  </sheetPr>
  <dimension ref="A1:F23"/>
  <sheetViews>
    <sheetView showGridLines="0" workbookViewId="0">
      <pane ySplit="1" topLeftCell="A2" activePane="bottomLeft" state="frozen"/>
      <selection pane="bottomLeft" activeCell="A1" sqref="A1"/>
    </sheetView>
  </sheetViews>
  <sheetFormatPr baseColWidth="8" defaultRowHeight="13.5"/>
  <cols>
    <col width="16" customWidth="1" style="42" min="1" max="1"/>
    <col width="28" customWidth="1" style="42" min="2" max="2"/>
    <col width="22" customWidth="1" style="42" min="3" max="3"/>
    <col width="28" customWidth="1" style="42" min="4" max="4"/>
    <col width="22" customWidth="1" style="42" min="5" max="5"/>
    <col width="24" customWidth="1" style="42" min="6" max="6"/>
  </cols>
  <sheetData>
    <row r="1" ht="28.05" customHeight="1" s="42">
      <c r="A1" s="63" t="inlineStr">
        <is>
          <t>情绪与预期差  ·  读预期，不追热度</t>
        </is>
      </c>
      <c r="B1" s="46" t="n"/>
      <c r="C1" s="46" t="n"/>
      <c r="D1" s="46" t="n"/>
      <c r="E1" s="46" t="n"/>
      <c r="F1" s="47" t="n"/>
    </row>
    <row r="2">
      <c r="A2" s="58">
        <f>"标的："&amp;IF(封面!B5="","（先填封面）",封面!B5)</f>
        <v/>
      </c>
      <c r="B2" s="46" t="n"/>
      <c r="C2" s="46" t="n"/>
      <c r="D2" s="46" t="n"/>
      <c r="E2" s="46" t="n"/>
      <c r="F2" s="47" t="n"/>
    </row>
    <row r="3" ht="36" customHeight="1" s="42">
      <c r="A3" s="49" t="inlineStr">
        <is>
          <t>目标：当前价格计入了什么故事、谁在交易、拥挤后谁是对手盘。基本面好+情绪过热 → 等或减小仓。基本面差+情绪冰点 ≠ 自动买点。</t>
        </is>
      </c>
    </row>
    <row r="4"/>
    <row r="5" ht="22.05" customHeight="1" s="42">
      <c r="A5" s="64" t="inlineStr">
        <is>
          <t>四层情绪</t>
        </is>
      </c>
    </row>
    <row r="6" ht="22.05" customHeight="1" s="42">
      <c r="A6" s="51" t="inlineStr">
        <is>
          <t>层</t>
        </is>
      </c>
      <c r="B6" s="51" t="inlineStr">
        <is>
          <t>现在的样子（填写）</t>
        </is>
      </c>
      <c r="C6" s="51" t="inlineStr">
        <is>
          <t>拥挤度 热/中/冷</t>
        </is>
      </c>
      <c r="D6" s="51" t="inlineStr">
        <is>
          <t>拥挤时</t>
        </is>
      </c>
      <c r="E6" s="51" t="inlineStr">
        <is>
          <t>冷清时</t>
        </is>
      </c>
      <c r="F6" s="51" t="inlineStr">
        <is>
          <t>数据来源</t>
        </is>
      </c>
    </row>
    <row r="7" ht="36" customHeight="1" s="42">
      <c r="A7" s="9" t="inlineStr">
        <is>
          <t>新闻叙事</t>
        </is>
      </c>
      <c r="B7" s="41" t="n"/>
      <c r="C7" s="48" t="inlineStr">
        <is>
          <t>中</t>
        </is>
      </c>
      <c r="D7" s="60" t="inlineStr">
        <is>
          <t>标题同质、只有一个故事</t>
        </is>
      </c>
      <c r="E7" s="21" t="inlineStr">
        <is>
          <t>几乎没人写，或只剩例行公告</t>
        </is>
      </c>
      <c r="F7" s="41" t="n"/>
    </row>
    <row r="8" ht="36" customHeight="1" s="42">
      <c r="A8" s="9" t="inlineStr">
        <is>
          <t>社交与散户</t>
        </is>
      </c>
      <c r="B8" s="41" t="n"/>
      <c r="C8" s="48" t="inlineStr">
        <is>
          <t>中</t>
        </is>
      </c>
      <c r="D8" s="60" t="inlineStr">
        <is>
          <t>提及暴增且一边倒看多</t>
        </is>
      </c>
      <c r="E8" s="21" t="inlineStr">
        <is>
          <t>提及低、争议少、换手低</t>
        </is>
      </c>
      <c r="F8" s="41" t="n"/>
    </row>
    <row r="9" ht="36" customHeight="1" s="42">
      <c r="A9" s="9" t="inlineStr">
        <is>
          <t>卖方与资金</t>
        </is>
      </c>
      <c r="B9" s="41" t="n"/>
      <c r="C9" s="48" t="inlineStr">
        <is>
          <t>中</t>
        </is>
      </c>
      <c r="D9" s="60" t="inlineStr">
        <is>
          <t>一致预期很高、上调扎堆</t>
        </is>
      </c>
      <c r="E9" s="21" t="inlineStr">
        <is>
          <t>覆盖少、目标价低于现价、机构在减</t>
        </is>
      </c>
      <c r="F9" s="41" t="n"/>
    </row>
    <row r="10" ht="36" customHeight="1" s="42">
      <c r="A10" s="9" t="inlineStr">
        <is>
          <t>期权与波动</t>
        </is>
      </c>
      <c r="B10" s="41" t="n"/>
      <c r="C10" s="48" t="inlineStr">
        <is>
          <t>中</t>
        </is>
      </c>
      <c r="D10" s="60" t="inlineStr">
        <is>
          <t>IV 极高、看涨期权拥挤</t>
        </is>
      </c>
      <c r="E10" s="21" t="inlineStr">
        <is>
          <t>IV 处于自身低位；A 股用换手代替</t>
        </is>
      </c>
      <c r="F10" s="41" t="n"/>
    </row>
    <row r="11"/>
    <row r="12" ht="22.05" customHeight="1" s="42">
      <c r="A12" s="64" t="inlineStr">
        <is>
          <t>检查项</t>
        </is>
      </c>
    </row>
    <row r="13" ht="22.05" customHeight="1" s="42">
      <c r="A13" s="51" t="inlineStr">
        <is>
          <t>#</t>
        </is>
      </c>
      <c r="B13" s="51" t="inlineStr">
        <is>
          <t>检查项</t>
        </is>
      </c>
      <c r="C13" s="51" t="inlineStr">
        <is>
          <t>结论</t>
        </is>
      </c>
      <c r="D13" s="51" t="inlineStr">
        <is>
          <t>记录</t>
        </is>
      </c>
      <c r="E13" s="46" t="n"/>
      <c r="F13" s="47" t="n"/>
    </row>
    <row r="14" ht="28.05" customHeight="1" s="42">
      <c r="A14" s="2" t="inlineStr">
        <is>
          <t>1</t>
        </is>
      </c>
      <c r="B14" s="55" t="inlineStr">
        <is>
          <t>过去 30 天核心新闻已读，并能用一句话概括市场叙事</t>
        </is>
      </c>
      <c r="C14" s="48" t="inlineStr">
        <is>
          <t>待查</t>
        </is>
      </c>
      <c r="D14" s="41" t="n"/>
      <c r="E14" s="46" t="n"/>
      <c r="F14" s="47" t="n"/>
    </row>
    <row r="15" ht="28.05" customHeight="1" s="42">
      <c r="A15" s="2" t="inlineStr">
        <is>
          <t>2</t>
        </is>
      </c>
      <c r="B15" s="55" t="inlineStr">
        <is>
          <t>查过一致预期 EPS / 目标价，并标出我和共识的分歧点</t>
        </is>
      </c>
      <c r="C15" s="48" t="inlineStr">
        <is>
          <t>待查</t>
        </is>
      </c>
      <c r="D15" s="41" t="n"/>
      <c r="E15" s="46" t="n"/>
      <c r="F15" s="47" t="n"/>
    </row>
    <row r="16" ht="28.05" customHeight="1" s="42">
      <c r="A16" s="2" t="inlineStr">
        <is>
          <t>3</t>
        </is>
      </c>
      <c r="B16" s="55" t="inlineStr">
        <is>
          <t>看过提及量或换手：热门拥挤还是乏人问津</t>
        </is>
      </c>
      <c r="C16" s="48" t="inlineStr">
        <is>
          <t>待查</t>
        </is>
      </c>
      <c r="D16" s="41" t="n"/>
      <c r="E16" s="46" t="n"/>
      <c r="F16" s="47" t="n"/>
    </row>
    <row r="17" ht="28.05" customHeight="1" s="42">
      <c r="A17" s="2" t="inlineStr">
        <is>
          <t>4</t>
        </is>
      </c>
      <c r="B17" s="55" t="inlineStr">
        <is>
          <t>看过机构/北向/融资或 13F 的方向，而不是单日资金颜色</t>
        </is>
      </c>
      <c r="C17" s="48" t="inlineStr">
        <is>
          <t>待查</t>
        </is>
      </c>
      <c r="D17" s="41" t="n"/>
      <c r="E17" s="46" t="n"/>
      <c r="F17" s="47" t="n"/>
    </row>
    <row r="18" ht="28.05" customHeight="1" s="42">
      <c r="A18" s="2" t="inlineStr">
        <is>
          <t>5</t>
        </is>
      </c>
      <c r="B18" s="55" t="inlineStr">
        <is>
          <t>美股看 IV Rank、Put/Call；A 股用换手+涨跌停情绪代替</t>
        </is>
      </c>
      <c r="C18" s="48" t="inlineStr">
        <is>
          <t>待查</t>
        </is>
      </c>
      <c r="D18" s="41" t="n"/>
      <c r="E18" s="46" t="n"/>
      <c r="F18" s="47" t="n"/>
    </row>
    <row r="19" ht="28.05" customHeight="1" s="42">
      <c r="A19" s="2" t="inlineStr">
        <is>
          <t>6</t>
        </is>
      </c>
      <c r="B19" s="55" t="inlineStr">
        <is>
          <t>写清楚：市场已经定价了什么，我额外押的是什么</t>
        </is>
      </c>
      <c r="C19" s="48" t="inlineStr">
        <is>
          <t>待查</t>
        </is>
      </c>
      <c r="D19" s="41" t="n"/>
      <c r="E19" s="46" t="n"/>
      <c r="F19" s="47" t="n"/>
    </row>
    <row r="20" ht="22.05" customHeight="1" s="42">
      <c r="A20" s="9" t="inlineStr">
        <is>
          <t>市场已定价</t>
        </is>
      </c>
      <c r="B20" s="41" t="n"/>
      <c r="C20" s="68" t="n"/>
      <c r="D20" s="68" t="n"/>
      <c r="E20" s="68" t="n"/>
      <c r="F20" s="69" t="n"/>
    </row>
    <row r="21" ht="22.05" customHeight="1" s="42">
      <c r="B21" s="70" t="n"/>
      <c r="C21" s="71" t="n"/>
      <c r="D21" s="71" t="n"/>
      <c r="E21" s="71" t="n"/>
      <c r="F21" s="72" t="n"/>
    </row>
    <row r="22" ht="22.05" customHeight="1" s="42">
      <c r="A22" s="9" t="inlineStr">
        <is>
          <t>我额外押的</t>
        </is>
      </c>
      <c r="B22" s="41" t="n"/>
      <c r="C22" s="68" t="n"/>
      <c r="D22" s="68" t="n"/>
      <c r="E22" s="68" t="n"/>
      <c r="F22" s="69" t="n"/>
    </row>
    <row r="23" ht="22.05" customHeight="1" s="42">
      <c r="B23" s="70" t="n"/>
      <c r="C23" s="71" t="n"/>
      <c r="D23" s="71" t="n"/>
      <c r="E23" s="71" t="n"/>
      <c r="F23" s="72" t="n"/>
    </row>
  </sheetData>
  <mergeCells count="14">
    <mergeCell ref="B22:F23"/>
    <mergeCell ref="A2:F2"/>
    <mergeCell ref="D19:F19"/>
    <mergeCell ref="D13:F13"/>
    <mergeCell ref="D14:F14"/>
    <mergeCell ref="B20:F21"/>
    <mergeCell ref="A1:F1"/>
    <mergeCell ref="A5:F5"/>
    <mergeCell ref="D18:F18"/>
    <mergeCell ref="D17:F17"/>
    <mergeCell ref="A12:F12"/>
    <mergeCell ref="A3:F3"/>
    <mergeCell ref="D15:F15"/>
    <mergeCell ref="D16:F16"/>
  </mergeCells>
  <dataValidations count="2">
    <dataValidation sqref="C7:C10" showDropDown="0" showInputMessage="0" showErrorMessage="0" allowBlank="1" errorTitle="无效输入" error="请从下拉列表选择" promptTitle="填写" prompt="从列表选择" type="list">
      <formula1>"热,中,冷"</formula1>
    </dataValidation>
    <dataValidation sqref="C14:C19" showDropDown="0" showInputMessage="0" showErrorMessage="0" allowBlank="1" errorTitle="无效输入" error="请从下拉列表选择" promptTitle="填写" prompt="从列表选择" type="list">
      <formula1>"是,否,待查"</formula1>
    </dataValidation>
  </dataValidations>
  <printOptions horizontalCentered="1"/>
  <pageMargins left="0.5" right="0.5" top="0.6" bottom="0.6" header="0.5" footer="0.5"/>
  <pageSetup orientation="landscape" paperSize="9" fitToHeight="0"/>
</worksheet>
</file>

<file path=xl/worksheets/sheet8.xml><?xml version="1.0" encoding="utf-8"?>
<worksheet xmlns="http://schemas.openxmlformats.org/spreadsheetml/2006/main">
  <sheetPr>
    <tabColor rgb="FFC00000"/>
    <outlinePr summaryBelow="1" summaryRight="1"/>
    <pageSetUpPr fitToPage="1"/>
  </sheetPr>
  <dimension ref="A1:F40"/>
  <sheetViews>
    <sheetView showGridLines="0" workbookViewId="0">
      <pane ySplit="1" topLeftCell="A2" activePane="bottomLeft" state="frozen"/>
      <selection pane="bottomLeft" activeCell="A1" sqref="A1"/>
    </sheetView>
  </sheetViews>
  <sheetFormatPr baseColWidth="8" defaultRowHeight="13.5"/>
  <cols>
    <col width="18" customWidth="1" style="42" min="1" max="1"/>
    <col width="16" customWidth="1" style="42" min="2" max="2"/>
    <col width="18" customWidth="1" style="42" min="3" max="3"/>
    <col width="22" customWidth="1" style="42" min="4" max="5"/>
    <col width="28" customWidth="1" style="42" min="6" max="6"/>
  </cols>
  <sheetData>
    <row r="1" ht="28.05" customHeight="1" s="42">
      <c r="A1" s="63" t="inlineStr">
        <is>
          <t>风险与仓位  ·  先写证伪，再定量</t>
        </is>
      </c>
      <c r="B1" s="46" t="n"/>
      <c r="C1" s="46" t="n"/>
      <c r="D1" s="46" t="n"/>
      <c r="E1" s="46" t="n"/>
      <c r="F1" s="47" t="n"/>
    </row>
    <row r="2">
      <c r="A2" s="58">
        <f>"标的："&amp;IF(封面!B5="","（先填封面）",封面!B5&amp;"  现价 "&amp;TEXT(封面!B9,"#,##0.00"))</f>
        <v/>
      </c>
      <c r="B2" s="46" t="n"/>
      <c r="C2" s="46" t="n"/>
      <c r="D2" s="46" t="n"/>
      <c r="E2" s="46" t="n"/>
      <c r="F2" s="47" t="n"/>
    </row>
    <row r="3" ht="36" customHeight="1" s="42">
      <c r="A3" s="49" t="inlineStr">
        <is>
          <t>只保留会推翻论点的风险。仓位由波动和流动性决定，不由「有多看好」决定。保守账户单票风险预算常见 0.25%–1% 组合权益。</t>
        </is>
      </c>
    </row>
    <row r="4"/>
    <row r="5" ht="22.05" customHeight="1" s="42">
      <c r="A5" s="64" t="inlineStr">
        <is>
          <t>A. 仓位计算器</t>
        </is>
      </c>
    </row>
    <row r="6" ht="15" customHeight="1" s="42">
      <c r="A6" s="9" t="inlineStr">
        <is>
          <t>组合权益</t>
        </is>
      </c>
      <c r="B6" s="85" t="n"/>
      <c r="C6" s="45" t="inlineStr">
        <is>
          <t>你的可投资本金</t>
        </is>
      </c>
      <c r="D6" s="46" t="n"/>
      <c r="E6" s="46" t="n"/>
      <c r="F6" s="47" t="n"/>
    </row>
    <row r="7" ht="15" customHeight="1" s="42">
      <c r="A7" s="9" t="inlineStr">
        <is>
          <t>单票风险预算</t>
        </is>
      </c>
      <c r="B7" s="39" t="n">
        <v>0.005</v>
      </c>
      <c r="C7" s="45" t="inlineStr">
        <is>
          <t>亏到证伪时，最多亏组合的多少</t>
        </is>
      </c>
      <c r="D7" s="46" t="n"/>
      <c r="E7" s="46" t="n"/>
      <c r="F7" s="47" t="n"/>
    </row>
    <row r="8" ht="15" customHeight="1" s="42">
      <c r="A8" s="9" t="inlineStr">
        <is>
          <t>证伪跌幅</t>
        </is>
      </c>
      <c r="B8" s="80" t="n">
        <v>0.2</v>
      </c>
      <c r="C8" s="45" t="inlineStr">
        <is>
          <t>从现价到无效化的跌幅（正数）</t>
        </is>
      </c>
      <c r="D8" s="46" t="n"/>
      <c r="E8" s="46" t="n"/>
      <c r="F8" s="47" t="n"/>
    </row>
    <row r="9" ht="15" customHeight="1" s="42">
      <c r="A9" s="9" t="inlineStr">
        <is>
          <t>日均成交额</t>
        </is>
      </c>
      <c r="B9" s="85" t="n"/>
      <c r="C9" s="45" t="inlineStr">
        <is>
          <t>与现价同一货币</t>
        </is>
      </c>
      <c r="D9" s="46" t="n"/>
      <c r="E9" s="46" t="n"/>
      <c r="F9" s="47" t="n"/>
    </row>
    <row r="10" ht="15" customHeight="1" s="42">
      <c r="A10" s="9" t="inlineStr">
        <is>
          <t>流动性占用上限</t>
        </is>
      </c>
      <c r="B10" s="80" t="n">
        <v>0.05</v>
      </c>
      <c r="C10" s="45" t="inlineStr">
        <is>
          <t>不超过日均成交的比例</t>
        </is>
      </c>
      <c r="D10" s="46" t="n"/>
      <c r="E10" s="46" t="n"/>
      <c r="F10" s="47" t="n"/>
    </row>
    <row r="11"/>
    <row r="12" ht="15" customHeight="1" s="42">
      <c r="A12" s="9" t="inlineStr">
        <is>
          <t>风险预算金额</t>
        </is>
      </c>
      <c r="B12" s="86">
        <f>IF(OR(B6="",B7=""),"",B6*B7)</f>
        <v/>
      </c>
      <c r="C12" s="45" t="inlineStr">
        <is>
          <t>权益 × 风险预算</t>
        </is>
      </c>
    </row>
    <row r="13" ht="24.75" customHeight="1" s="42">
      <c r="A13" s="9" t="inlineStr">
        <is>
          <t>波动反推仓位金额</t>
        </is>
      </c>
      <c r="B13" s="86">
        <f>IF(OR(B12="",B8="",B8=0),"",B12/B8)</f>
        <v/>
      </c>
      <c r="C13" s="45" t="inlineStr">
        <is>
          <t>风险预算金额 / 证伪跌幅</t>
        </is>
      </c>
    </row>
    <row r="14" ht="15" customHeight="1" s="42">
      <c r="A14" s="9" t="inlineStr">
        <is>
          <t>流动性上限金额</t>
        </is>
      </c>
      <c r="B14" s="86">
        <f>IF(OR(B9="",B10=""),"",B9*B10)</f>
        <v/>
      </c>
      <c r="C14" s="45" t="inlineStr">
        <is>
          <t>日均成交 × 占用上限</t>
        </is>
      </c>
    </row>
    <row r="15" ht="15" customHeight="1" s="42">
      <c r="A15" s="9" t="inlineStr">
        <is>
          <t>建议金额</t>
        </is>
      </c>
      <c r="B15" s="86">
        <f>IF(B13="",IF(B14="","",B14),IF(B14="",B13,MIN(B13,B14)))</f>
        <v/>
      </c>
      <c r="C15" s="75">
        <f>B15</f>
        <v/>
      </c>
      <c r="D15" s="45" t="inlineStr">
        <is>
          <t>封面读 C15</t>
        </is>
      </c>
    </row>
    <row r="16" ht="15" customHeight="1" s="42">
      <c r="A16" s="9" t="inlineStr">
        <is>
          <t>建议仓位上限</t>
        </is>
      </c>
      <c r="B16" s="79">
        <f>IF(OR(B15="",B6="",B6=0),"",B15/B6)</f>
        <v/>
      </c>
      <c r="C16" s="74">
        <f>B16</f>
        <v/>
      </c>
      <c r="D16" s="45" t="inlineStr">
        <is>
          <t>封面读 C16</t>
        </is>
      </c>
    </row>
    <row r="17" ht="15" customHeight="1" s="42">
      <c r="A17" s="9" t="inlineStr">
        <is>
          <t>建议股数</t>
        </is>
      </c>
      <c r="B17" s="86">
        <f>IF(OR(B15="",封面!B9="",封面!B9=0),"",B15/封面!B9)</f>
        <v/>
      </c>
    </row>
    <row r="18"/>
    <row r="19" ht="22.05" customHeight="1" s="42">
      <c r="A19" s="64" t="inlineStr">
        <is>
          <t>B. Pre-mortem（假设一年后失败）</t>
        </is>
      </c>
    </row>
    <row r="20" ht="22.05" customHeight="1" s="42">
      <c r="A20" s="51" t="inlineStr">
        <is>
          <t>#</t>
        </is>
      </c>
      <c r="B20" s="51" t="inlineStr">
        <is>
          <t>失败原因（至少一条打论点）</t>
        </is>
      </c>
      <c r="C20" s="51" t="inlineStr">
        <is>
          <t>当前证据</t>
        </is>
      </c>
      <c r="D20" s="51" t="inlineStr">
        <is>
          <t>监控指标</t>
        </is>
      </c>
      <c r="E20" s="51" t="inlineStr">
        <is>
          <t>触发后动作</t>
        </is>
      </c>
      <c r="F20" s="51" t="inlineStr">
        <is>
          <t>强度 高/中/低</t>
        </is>
      </c>
    </row>
    <row r="21" ht="36" customHeight="1" s="42">
      <c r="A21" s="2" t="inlineStr">
        <is>
          <t>1</t>
        </is>
      </c>
      <c r="B21" s="41" t="n"/>
      <c r="C21" s="41" t="n"/>
      <c r="D21" s="41" t="n"/>
      <c r="E21" s="41" t="n"/>
      <c r="F21" s="48" t="inlineStr">
        <is>
          <t>中</t>
        </is>
      </c>
    </row>
    <row r="22" ht="36" customHeight="1" s="42">
      <c r="A22" s="2" t="inlineStr">
        <is>
          <t>2</t>
        </is>
      </c>
      <c r="B22" s="41" t="n"/>
      <c r="C22" s="41" t="n"/>
      <c r="D22" s="41" t="n"/>
      <c r="E22" s="41" t="n"/>
      <c r="F22" s="48" t="inlineStr">
        <is>
          <t>中</t>
        </is>
      </c>
    </row>
    <row r="23" ht="36" customHeight="1" s="42">
      <c r="A23" s="2" t="inlineStr">
        <is>
          <t>3</t>
        </is>
      </c>
      <c r="B23" s="41" t="n"/>
      <c r="C23" s="41" t="n"/>
      <c r="D23" s="41" t="n"/>
      <c r="E23" s="41" t="n"/>
      <c r="F23" s="48" t="inlineStr">
        <is>
          <t>中</t>
        </is>
      </c>
    </row>
    <row r="24"/>
    <row r="25" ht="22.05" customHeight="1" s="42">
      <c r="A25" s="64" t="inlineStr">
        <is>
          <t>C. 交易预案</t>
        </is>
      </c>
    </row>
    <row r="26" ht="28.05" customHeight="1" s="42">
      <c r="A26" s="9" t="inlineStr">
        <is>
          <t>持有期</t>
        </is>
      </c>
      <c r="B26" s="41" t="n"/>
      <c r="C26" s="46" t="n"/>
      <c r="D26" s="47" t="n"/>
      <c r="E26" s="45" t="inlineStr">
        <is>
          <t>例如 6–18 个月，事件驱动写到催化剂日</t>
        </is>
      </c>
      <c r="F26" s="47" t="n"/>
    </row>
    <row r="27" ht="28.05" customHeight="1" s="42">
      <c r="A27" s="9" t="inlineStr">
        <is>
          <t>建仓区间</t>
        </is>
      </c>
      <c r="B27" s="41" t="n"/>
      <c r="C27" s="46" t="n"/>
      <c r="D27" s="47" t="n"/>
      <c r="E27" s="45" t="inlineStr">
        <is>
          <t>价格或估值分位，不要写「看着办」</t>
        </is>
      </c>
      <c r="F27" s="47" t="n"/>
    </row>
    <row r="28" ht="28.05" customHeight="1" s="42">
      <c r="A28" s="9" t="inlineStr">
        <is>
          <t>无效化 / 证伪</t>
        </is>
      </c>
      <c r="B28" s="41" t="n"/>
      <c r="C28" s="46" t="n"/>
      <c r="D28" s="47" t="n"/>
      <c r="E28" s="45" t="inlineStr">
        <is>
          <t>基本面事件优先；价格止损只作补充</t>
        </is>
      </c>
      <c r="F28" s="47" t="n"/>
    </row>
    <row r="29" ht="28.05" customHeight="1" s="42">
      <c r="A29" s="9" t="inlineStr">
        <is>
          <t>减仓 / 退出</t>
        </is>
      </c>
      <c r="B29" s="41" t="n"/>
      <c r="C29" s="46" t="n"/>
      <c r="D29" s="47" t="n"/>
      <c r="E29" s="45" t="inlineStr">
        <is>
          <t>论点兑现、估值到目标、或证伪触发</t>
        </is>
      </c>
      <c r="F29" s="47" t="n"/>
    </row>
    <row r="30" ht="28.05" customHeight="1" s="42">
      <c r="A30" s="9" t="inlineStr">
        <is>
          <t>下次复盘日</t>
        </is>
      </c>
      <c r="B30" s="41" t="n"/>
      <c r="C30" s="46" t="n"/>
      <c r="D30" s="47" t="n"/>
      <c r="E30" s="45" t="inlineStr">
        <is>
          <t>下次财报或某个领先指标阈值</t>
        </is>
      </c>
      <c r="F30" s="47" t="n"/>
    </row>
    <row r="31" ht="28.05" customHeight="1" s="42">
      <c r="A31" s="9" t="inlineStr">
        <is>
          <t>与现有持仓重叠</t>
        </is>
      </c>
      <c r="B31" s="41" t="n"/>
      <c r="C31" s="46" t="n"/>
      <c r="D31" s="47" t="n"/>
      <c r="E31" s="45" t="inlineStr">
        <is>
          <t>行业 / 因子 / 单一客户</t>
        </is>
      </c>
      <c r="F31" s="47" t="n"/>
    </row>
    <row r="32"/>
    <row r="33" ht="22.05" customHeight="1" s="42">
      <c r="A33" s="64" t="inlineStr">
        <is>
          <t>D. 风险地图（只填会改变动作的）</t>
        </is>
      </c>
    </row>
    <row r="34" ht="22.05" customHeight="1" s="42">
      <c r="A34" s="51" t="inlineStr">
        <is>
          <t>类型</t>
        </is>
      </c>
      <c r="B34" s="51" t="inlineStr">
        <is>
          <t>是否相关</t>
        </is>
      </c>
      <c r="C34" s="51" t="inlineStr">
        <is>
          <t>具体内容</t>
        </is>
      </c>
      <c r="D34" s="51" t="inlineStr">
        <is>
          <t>监控指标</t>
        </is>
      </c>
      <c r="E34" s="51" t="inlineStr">
        <is>
          <t>仓位含义</t>
        </is>
      </c>
      <c r="F34" s="51" t="inlineStr">
        <is>
          <t>状态</t>
        </is>
      </c>
    </row>
    <row r="35" ht="26" customHeight="1" s="42">
      <c r="A35" s="9" t="inlineStr">
        <is>
          <t>经营</t>
        </is>
      </c>
      <c r="B35" s="48" t="inlineStr">
        <is>
          <t>待判</t>
        </is>
      </c>
      <c r="C35" s="41" t="n"/>
      <c r="D35" s="45" t="inlineStr">
        <is>
          <t>销量/ASP、毛利率、份额</t>
        </is>
      </c>
      <c r="E35" s="45" t="inlineStr">
        <is>
          <t>论点伤了就减或清</t>
        </is>
      </c>
      <c r="F35" s="48" t="inlineStr">
        <is>
          <t>观察</t>
        </is>
      </c>
    </row>
    <row r="36" ht="26" customHeight="1" s="42">
      <c r="A36" s="9" t="inlineStr">
        <is>
          <t>财务</t>
        </is>
      </c>
      <c r="B36" s="48" t="inlineStr">
        <is>
          <t>待判</t>
        </is>
      </c>
      <c r="C36" s="41" t="n"/>
      <c r="D36" s="45" t="inlineStr">
        <is>
          <t>净负债、利息覆盖、FCF</t>
        </is>
      </c>
      <c r="E36" s="45" t="inlineStr">
        <is>
          <t>杠杆高则硬性缩小仓</t>
        </is>
      </c>
      <c r="F36" s="48" t="inlineStr">
        <is>
          <t>观察</t>
        </is>
      </c>
    </row>
    <row r="37" ht="26" customHeight="1" s="42">
      <c r="A37" s="9" t="inlineStr">
        <is>
          <t>估值</t>
        </is>
      </c>
      <c r="B37" s="48" t="inlineStr">
        <is>
          <t>待判</t>
        </is>
      </c>
      <c r="C37" s="41" t="n"/>
      <c r="D37" s="45" t="inlineStr">
        <is>
          <t>PE 分位、久期、WACC</t>
        </is>
      </c>
      <c r="E37" s="45" t="inlineStr">
        <is>
          <t>贵的时候少配</t>
        </is>
      </c>
      <c r="F37" s="48" t="inlineStr">
        <is>
          <t>观察</t>
        </is>
      </c>
    </row>
    <row r="38" ht="26" customHeight="1" s="42">
      <c r="A38" s="9" t="inlineStr">
        <is>
          <t>市场</t>
        </is>
      </c>
      <c r="B38" s="48" t="inlineStr">
        <is>
          <t>待判</t>
        </is>
      </c>
      <c r="C38" s="41" t="n"/>
      <c r="D38" s="45" t="inlineStr">
        <is>
          <t>Beta、波动、最大回撤</t>
        </is>
      </c>
      <c r="E38" s="45" t="inlineStr">
        <is>
          <t>按波动倒数仓位</t>
        </is>
      </c>
      <c r="F38" s="48" t="inlineStr">
        <is>
          <t>观察</t>
        </is>
      </c>
    </row>
    <row r="39" ht="26" customHeight="1" s="42">
      <c r="A39" s="9" t="inlineStr">
        <is>
          <t>流动性</t>
        </is>
      </c>
      <c r="B39" s="48" t="inlineStr">
        <is>
          <t>待判</t>
        </is>
      </c>
      <c r="C39" s="41" t="n"/>
      <c r="D39" s="45" t="inlineStr">
        <is>
          <t>日均成交、价差</t>
        </is>
      </c>
      <c r="E39" s="45" t="inlineStr">
        <is>
          <t>限制绝对金额</t>
        </is>
      </c>
      <c r="F39" s="48" t="inlineStr">
        <is>
          <t>观察</t>
        </is>
      </c>
    </row>
    <row r="40" ht="26" customHeight="1" s="42">
      <c r="A40" s="9" t="inlineStr">
        <is>
          <t>治理/政策</t>
        </is>
      </c>
      <c r="B40" s="48" t="inlineStr">
        <is>
          <t>待判</t>
        </is>
      </c>
      <c r="C40" s="41" t="n"/>
      <c r="D40" s="45" t="inlineStr">
        <is>
          <t>增发、关联交易、监管</t>
        </is>
      </c>
      <c r="E40" s="45" t="inlineStr">
        <is>
          <t>一票否决或观察仓</t>
        </is>
      </c>
      <c r="F40" s="48" t="inlineStr">
        <is>
          <t>观察</t>
        </is>
      </c>
    </row>
  </sheetData>
  <mergeCells count="24">
    <mergeCell ref="C8:F8"/>
    <mergeCell ref="C7:F7"/>
    <mergeCell ref="B29:D29"/>
    <mergeCell ref="A3:F3"/>
    <mergeCell ref="A33:F33"/>
    <mergeCell ref="A2:F2"/>
    <mergeCell ref="B28:D28"/>
    <mergeCell ref="E29:F29"/>
    <mergeCell ref="A5:F5"/>
    <mergeCell ref="C6:F6"/>
    <mergeCell ref="E28:F28"/>
    <mergeCell ref="B30:D30"/>
    <mergeCell ref="E31:F31"/>
    <mergeCell ref="E30:F30"/>
    <mergeCell ref="A19:F19"/>
    <mergeCell ref="B26:D26"/>
    <mergeCell ref="E27:F27"/>
    <mergeCell ref="C10:F10"/>
    <mergeCell ref="E26:F26"/>
    <mergeCell ref="C9:F9"/>
    <mergeCell ref="B31:D31"/>
    <mergeCell ref="A1:F1"/>
    <mergeCell ref="B27:D27"/>
    <mergeCell ref="A25:F25"/>
  </mergeCells>
  <dataValidations count="3">
    <dataValidation sqref="F21:F23" showDropDown="0" showInputMessage="0" showErrorMessage="0" allowBlank="1" errorTitle="无效输入" error="请从下拉列表选择" promptTitle="填写" prompt="从列表选择" type="list">
      <formula1>"高,中,低"</formula1>
    </dataValidation>
    <dataValidation sqref="B35:B40" showDropDown="0" showInputMessage="0" showErrorMessage="0" allowBlank="1" errorTitle="无效输入" error="请从下拉列表选择" promptTitle="填写" prompt="从列表选择" type="list">
      <formula1>"是,否,待判"</formula1>
    </dataValidation>
    <dataValidation sqref="F35:F40" showDropDown="0" showInputMessage="0" showErrorMessage="0" allowBlank="1" errorTitle="无效输入" error="请从下拉列表选择" promptTitle="填写" prompt="从列表选择" type="list">
      <formula1>"观察,跟踪,一票否决"</formula1>
    </dataValidation>
  </dataValidations>
  <printOptions horizontalCentered="1"/>
  <pageMargins left="0.5" right="0.5" top="0.6" bottom="0.6" header="0.5" footer="0.5"/>
  <pageSetup orientation="portrait" paperSize="9" fitToHeight="0"/>
</worksheet>
</file>

<file path=xl/worksheets/sheet9.xml><?xml version="1.0" encoding="utf-8"?>
<worksheet xmlns="http://schemas.openxmlformats.org/spreadsheetml/2006/main">
  <sheetPr>
    <tabColor rgb="FF1F4E79"/>
    <outlinePr summaryBelow="1" summaryRight="1"/>
    <pageSetUpPr fitToPage="1"/>
  </sheetPr>
  <dimension ref="A1:F34"/>
  <sheetViews>
    <sheetView showGridLines="0" workbookViewId="0">
      <pane ySplit="1" topLeftCell="A2" activePane="bottomLeft" state="frozen"/>
      <selection pane="bottomLeft" activeCell="A1" sqref="A1"/>
    </sheetView>
  </sheetViews>
  <sheetFormatPr baseColWidth="8" defaultRowHeight="13.5"/>
  <cols>
    <col width="20" customWidth="1" style="42" min="1" max="1"/>
    <col width="16" customWidth="1" style="42" min="2" max="5"/>
    <col width="28" customWidth="1" style="42" min="6" max="6"/>
  </cols>
  <sheetData>
    <row r="1" ht="28.05" customHeight="1" s="42">
      <c r="A1" s="63" t="inlineStr">
        <is>
          <t>个股备忘录  ·  写完就能存档</t>
        </is>
      </c>
      <c r="B1" s="46" t="n"/>
      <c r="C1" s="46" t="n"/>
      <c r="D1" s="46" t="n"/>
      <c r="E1" s="46" t="n"/>
      <c r="F1" s="47" t="n"/>
    </row>
    <row r="2">
      <c r="A2" s="58">
        <f>"【"&amp;IF(封面!B5="","代码未填",封面!B5)&amp;"】 "&amp;封面!B6&amp;"  |  "&amp;封面!B7&amp;"  |  "&amp;TEXT(封面!B8,"YYYY-MM-DD")&amp;"  |  动作："&amp;封面!B19</f>
        <v/>
      </c>
      <c r="B2" s="46" t="n"/>
      <c r="C2" s="46" t="n"/>
      <c r="D2" s="46" t="n"/>
      <c r="E2" s="46" t="n"/>
      <c r="F2" s="47" t="n"/>
    </row>
    <row r="3" ht="36" customHeight="1" s="42">
      <c r="A3" s="49" t="inlineStr">
        <is>
          <t>结构：执行摘要 → 公司 → 行业 → 财务 → 估值 → 情绪 → 催化剂 → 风险 → 动作。把黄格里的提示换成事实和来源。打印本表即可作为研究报告。</t>
        </is>
      </c>
    </row>
    <row r="4"/>
    <row r="5" ht="36" customHeight="1" s="42">
      <c r="A5" s="58">
        <f>"论点："&amp;封面!B13</f>
        <v/>
      </c>
      <c r="B5" s="46" t="n"/>
      <c r="C5" s="46" t="n"/>
      <c r="D5" s="46" t="n"/>
      <c r="E5" s="46" t="n"/>
      <c r="F5" s="47" t="n"/>
    </row>
    <row r="6"/>
    <row r="7" ht="22.05" customHeight="1" s="42">
      <c r="A7" s="64" t="inlineStr">
        <is>
          <t>0. 执行摘要</t>
        </is>
      </c>
    </row>
    <row r="8" ht="32" customHeight="1" s="42">
      <c r="A8" s="65" t="inlineStr">
        <is>
          <t>初筛结论：排除。停止建模，不计算F、Z、M，不给Bear、Base、Bull。云端无 Excel，汇总按模板公式计算。闸门按初筛表公式：五项里只要有「否」就排除。本次第5项为否。前四项为是：商业模式说得清；实控人冯宇霞、周志文在经营公司；2025年经营现金流4.45亿元与归母净利2.98亿元同向为正；货币资金9.12亿元，银行借款字段为空，利息费用142万元。排除理由：2025年年度报告写明，扣非归母净利润3.11亿元主要不是实验室服务赚来的。非经常性损益只有-1,363.44万元，生物资产公允价值变动净收益4.76亿元留在扣非里面。公司把扣非再剔除这项公允价值后的实验室服务及其他业务贡献净利润写成-1.64亿元，上年同期为1.37亿元。收入1,657,624,302.72元，同比下降17.87%。毛利靠不住到可以单独支撑利润。当日事实来自2026-09-30收盘复盘，不来自盘中高点：昭衍新药首板，收盘49.30元，成交额26.47亿元，是东财涨停池成交额最大的一只，开板1次，封单资金2.22亿元。每经把它写成CRO/CMO。复盘写没有检索到9月30日新订单公告。医药生物行业涨2.73%，CRO概念涨3.79%，这是行业温度，不是这份新合同。早上的每日全球金融要闻没有点名昭衍新药；罗氏优先审评和礼来三期详情不是昭衍的收入。A股10月1日至7日休市，10月8日才再交易。收盘涨停不是假期里已经成交的事实。雅虎2026-09-30日线收盘49.30元，与复盘一致。近20个交易日收盘价乘成交量的近似日均成交额只作流动性备忘，不进入仓位公式，因为已经停止建模。仅供研究备忘，不构成投资建议。</t>
        </is>
      </c>
      <c r="B8" s="68" t="n"/>
      <c r="C8" s="68" t="n"/>
      <c r="D8" s="68" t="n"/>
      <c r="E8" s="68" t="n"/>
      <c r="F8" s="69" t="n"/>
    </row>
    <row r="9" ht="32" customHeight="1" s="42">
      <c r="A9" s="70" t="n"/>
      <c r="B9" s="71" t="n"/>
      <c r="C9" s="71" t="n"/>
      <c r="D9" s="71" t="n"/>
      <c r="E9" s="71" t="n"/>
      <c r="F9" s="72" t="n"/>
    </row>
    <row r="10" ht="22.05" customHeight="1" s="42">
      <c r="A10" s="64" t="inlineStr">
        <is>
          <t>1. 公司与商业模式</t>
        </is>
      </c>
    </row>
    <row r="11" ht="32" customHeight="1" s="42">
      <c r="A11" s="41" t="inlineStr">
        <is>
          <t>收入构成 / 客户与定价 / 护城河来源及 ROIC 验证 / 管理层与股权 / 近 12 个月大事：</t>
        </is>
      </c>
      <c r="B11" s="68" t="n"/>
      <c r="C11" s="68" t="n"/>
      <c r="D11" s="68" t="n"/>
      <c r="E11" s="68" t="n"/>
      <c r="F11" s="69" t="n"/>
    </row>
    <row r="12" ht="32" customHeight="1" s="42">
      <c r="A12" s="70" t="n"/>
      <c r="B12" s="71" t="n"/>
      <c r="C12" s="71" t="n"/>
      <c r="D12" s="71" t="n"/>
      <c r="E12" s="71" t="n"/>
      <c r="F12" s="72" t="n"/>
    </row>
    <row r="13" ht="22.05" customHeight="1" s="42">
      <c r="A13" s="64" t="inlineStr">
        <is>
          <t>2. 行业与竞争</t>
        </is>
      </c>
    </row>
    <row r="14" ht="32" customHeight="1" s="42">
      <c r="A14" s="41" t="inlineStr">
        <is>
          <t>周期位置 / 份额 / 议价 / 2–4 家对标（增长、毛利、ROIC、杠杆、估值） / 会改变利润池的政策：</t>
        </is>
      </c>
      <c r="B14" s="68" t="n"/>
      <c r="C14" s="68" t="n"/>
      <c r="D14" s="68" t="n"/>
      <c r="E14" s="68" t="n"/>
      <c r="F14" s="69" t="n"/>
    </row>
    <row r="15" ht="32" customHeight="1" s="42">
      <c r="A15" s="70" t="n"/>
      <c r="B15" s="71" t="n"/>
      <c r="C15" s="71" t="n"/>
      <c r="D15" s="71" t="n"/>
      <c r="E15" s="71" t="n"/>
      <c r="F15" s="72" t="n"/>
    </row>
    <row r="16" ht="22.05" customHeight="1" s="42">
      <c r="A16" s="64" t="inlineStr">
        <is>
          <t>3. 财务质量</t>
        </is>
      </c>
    </row>
    <row r="17" ht="32" customHeight="1" s="42">
      <c r="A17" s="41" t="inlineStr">
        <is>
          <t>五年趋势（收入、毛利率、扣非、OCF、FCF、ROIC） / 法务会计（应计、现金转化、应收存货、一次性） / 可信度等级：</t>
        </is>
      </c>
      <c r="B17" s="68" t="n"/>
      <c r="C17" s="68" t="n"/>
      <c r="D17" s="68" t="n"/>
      <c r="E17" s="68" t="n"/>
      <c r="F17" s="69" t="n"/>
    </row>
    <row r="18" ht="32" customHeight="1" s="42">
      <c r="A18" s="70" t="n"/>
      <c r="B18" s="71" t="n"/>
      <c r="C18" s="71" t="n"/>
      <c r="D18" s="71" t="n"/>
      <c r="E18" s="71" t="n"/>
      <c r="F18" s="72" t="n"/>
    </row>
    <row r="19" ht="22.05" customHeight="1" s="42">
      <c r="A19" s="64" t="inlineStr">
        <is>
          <t>4. 估值</t>
        </is>
      </c>
    </row>
    <row r="20" ht="32" customHeight="1" s="42">
      <c r="A20" s="41" t="inlineStr">
        <is>
          <t>相对：当前倍数 vs 五年分位 vs 同行。绝对：Bull/Base/Bear 关键变量与价格。共识 vs 我的分歧：</t>
        </is>
      </c>
      <c r="B20" s="68" t="n"/>
      <c r="C20" s="68" t="n"/>
      <c r="D20" s="68" t="n"/>
      <c r="E20" s="68" t="n"/>
      <c r="F20" s="69" t="n"/>
    </row>
    <row r="21" ht="32" customHeight="1" s="42">
      <c r="A21" s="70" t="n"/>
      <c r="B21" s="71" t="n"/>
      <c r="C21" s="71" t="n"/>
      <c r="D21" s="71" t="n"/>
      <c r="E21" s="71" t="n"/>
      <c r="F21" s="72" t="n"/>
    </row>
    <row r="22" ht="22.05" customHeight="1" s="42">
      <c r="A22" s="64" t="inlineStr">
        <is>
          <t>5. 情绪与预期差</t>
        </is>
      </c>
    </row>
    <row r="23" ht="32" customHeight="1" s="42">
      <c r="A23" s="41" t="inlineStr">
        <is>
          <t>叙事一句 / 拥挤度 / 一致预期。市场已定价 vs 我额外押的：</t>
        </is>
      </c>
      <c r="B23" s="68" t="n"/>
      <c r="C23" s="68" t="n"/>
      <c r="D23" s="68" t="n"/>
      <c r="E23" s="68" t="n"/>
      <c r="F23" s="69" t="n"/>
    </row>
    <row r="24" ht="32" customHeight="1" s="42">
      <c r="A24" s="70" t="n"/>
      <c r="B24" s="71" t="n"/>
      <c r="C24" s="71" t="n"/>
      <c r="D24" s="71" t="n"/>
      <c r="E24" s="71" t="n"/>
      <c r="F24" s="72" t="n"/>
    </row>
    <row r="25" ht="22.05" customHeight="1" s="42">
      <c r="A25" s="64" t="inlineStr">
        <is>
          <t>6. 催化剂（3–12 个月）</t>
        </is>
      </c>
    </row>
    <row r="26" ht="32" customHeight="1" s="42">
      <c r="A26" s="41" t="inlineStr">
        <is>
          <t>事件 | 若兑现看什么数字 | 若不兑现怎么办：</t>
        </is>
      </c>
      <c r="B26" s="68" t="n"/>
      <c r="C26" s="68" t="n"/>
      <c r="D26" s="68" t="n"/>
      <c r="E26" s="68" t="n"/>
      <c r="F26" s="69" t="n"/>
    </row>
    <row r="27" ht="32" customHeight="1" s="42">
      <c r="A27" s="70" t="n"/>
      <c r="B27" s="71" t="n"/>
      <c r="C27" s="71" t="n"/>
      <c r="D27" s="71" t="n"/>
      <c r="E27" s="71" t="n"/>
      <c r="F27" s="72" t="n"/>
    </row>
    <row r="28" ht="22.05" customHeight="1" s="42">
      <c r="A28" s="64" t="inlineStr">
        <is>
          <t>7. 风险与 Pre-mortem</t>
        </is>
      </c>
    </row>
    <row r="29" ht="32" customHeight="1" s="42">
      <c r="A29" s="41" t="inlineStr">
        <is>
          <t>一年后失败的三个原因；每条监控信号。至少一条攻击核心论点：</t>
        </is>
      </c>
      <c r="B29" s="68" t="n"/>
      <c r="C29" s="68" t="n"/>
      <c r="D29" s="68" t="n"/>
      <c r="E29" s="68" t="n"/>
      <c r="F29" s="69" t="n"/>
    </row>
    <row r="30" ht="32" customHeight="1" s="42">
      <c r="A30" s="70" t="n"/>
      <c r="B30" s="71" t="n"/>
      <c r="C30" s="71" t="n"/>
      <c r="D30" s="71" t="n"/>
      <c r="E30" s="71" t="n"/>
      <c r="F30" s="72" t="n"/>
    </row>
    <row r="31" ht="22.05" customHeight="1" s="42">
      <c r="A31" s="64" t="inlineStr">
        <is>
          <t>8. 动作与观察清单</t>
        </is>
      </c>
    </row>
    <row r="32" ht="32" customHeight="1" s="42">
      <c r="A32" s="41" t="inlineStr">
        <is>
          <t>仓位上限 / 建仓区间 / 证伪条件 / 下次复盘日。技术面若用，只服务时点：</t>
        </is>
      </c>
      <c r="B32" s="68" t="n"/>
      <c r="C32" s="68" t="n"/>
      <c r="D32" s="68" t="n"/>
      <c r="E32" s="68" t="n"/>
      <c r="F32" s="69" t="n"/>
    </row>
    <row r="33" ht="32" customHeight="1" s="42">
      <c r="A33" s="70" t="n"/>
      <c r="B33" s="71" t="n"/>
      <c r="C33" s="71" t="n"/>
      <c r="D33" s="71" t="n"/>
      <c r="E33" s="71" t="n"/>
      <c r="F33" s="72" t="n"/>
    </row>
    <row r="34">
      <c r="A34" s="45" t="inlineStr">
        <is>
          <t>声明：本研究记录仅供个人决策备忘，不构成投资建议。</t>
        </is>
      </c>
      <c r="B34" s="46" t="n"/>
      <c r="C34" s="46" t="n"/>
      <c r="D34" s="46" t="n"/>
      <c r="E34" s="46" t="n"/>
      <c r="F34" s="47" t="n"/>
    </row>
  </sheetData>
  <mergeCells count="23">
    <mergeCell ref="A16:F16"/>
    <mergeCell ref="A23:F24"/>
    <mergeCell ref="A3:F3"/>
    <mergeCell ref="A2:F2"/>
    <mergeCell ref="A11:F12"/>
    <mergeCell ref="A5:F5"/>
    <mergeCell ref="A22:F22"/>
    <mergeCell ref="A10:F10"/>
    <mergeCell ref="A28:F28"/>
    <mergeCell ref="A13:F13"/>
    <mergeCell ref="A19:F19"/>
    <mergeCell ref="A31:F31"/>
    <mergeCell ref="A34:F34"/>
    <mergeCell ref="A26:F27"/>
    <mergeCell ref="A32:F33"/>
    <mergeCell ref="A14:F15"/>
    <mergeCell ref="A1:F1"/>
    <mergeCell ref="A17:F18"/>
    <mergeCell ref="A8:F9"/>
    <mergeCell ref="A20:F21"/>
    <mergeCell ref="A7:F7"/>
    <mergeCell ref="A25:F25"/>
    <mergeCell ref="A29:F30"/>
  </mergeCells>
  <printOptions horizontalCentered="1"/>
  <pageMargins left="0.5" right="0.5" top="0.6" bottom="0.6" header="0.5" footer="0.5"/>
  <pageSetup orientation="portrait" paperSize="9" fitToHeight="0"/>
</worksheet>
</file>

<file path=xl/worksheets/sheet10.xml><?xml version="1.0" encoding="utf-8"?>
<worksheet xmlns="http://schemas.openxmlformats.org/spreadsheetml/2006/main">
  <sheetPr>
    <tabColor rgb="FF595959"/>
    <outlinePr summaryBelow="1" summaryRight="1"/>
    <pageSetUpPr fitToPage="1"/>
  </sheetPr>
  <dimension ref="A1:F22"/>
  <sheetViews>
    <sheetView showGridLines="0" workbookViewId="0">
      <pane ySplit="1" topLeftCell="A2" activePane="bottomLeft" state="frozen"/>
      <selection pane="bottomLeft" activeCell="A1" sqref="A1"/>
    </sheetView>
  </sheetViews>
  <sheetFormatPr baseColWidth="8" defaultRowHeight="13.5"/>
  <cols>
    <col width="28" customWidth="1" style="42" min="1" max="1"/>
    <col width="16" customWidth="1" style="42" min="2" max="2"/>
    <col width="14" customWidth="1" style="42" min="3" max="3"/>
    <col width="44" customWidth="1" style="42" min="4" max="4"/>
    <col width="22" customWidth="1" style="42" min="5" max="6"/>
  </cols>
  <sheetData>
    <row r="1" ht="28.05" customHeight="1" s="42">
      <c r="A1" s="63" t="inlineStr">
        <is>
          <t>工具对照  ·  取数与模型，不是第二套流程</t>
        </is>
      </c>
      <c r="B1" s="46" t="n"/>
      <c r="C1" s="46" t="n"/>
      <c r="D1" s="46" t="n"/>
      <c r="E1" s="46" t="n"/>
      <c r="F1" s="47" t="n"/>
    </row>
    <row r="2" ht="36" customHeight="1" s="42">
      <c r="A2" s="49" t="inlineStr">
        <is>
          <t>能免费走通：年报原文 + akshare 或 yfinance + 本模板 +（可选）Damodaran 表。不要同时开五套 AI 选股工具。</t>
        </is>
      </c>
    </row>
    <row r="3"/>
    <row r="4" ht="22.05" customHeight="1" s="42">
      <c r="A4" s="64" t="inlineStr">
        <is>
          <t>取数</t>
        </is>
      </c>
    </row>
    <row r="5" ht="22.05" customHeight="1" s="42">
      <c r="A5" s="51" t="inlineStr">
        <is>
          <t>工具</t>
        </is>
      </c>
      <c r="B5" s="51" t="inlineStr">
        <is>
          <t>市场</t>
        </is>
      </c>
      <c r="C5" s="51" t="inlineStr">
        <is>
          <t>费用</t>
        </is>
      </c>
      <c r="D5" s="51" t="inlineStr">
        <is>
          <t>擅长</t>
        </is>
      </c>
      <c r="E5" s="51" t="inlineStr">
        <is>
          <t>链接</t>
        </is>
      </c>
      <c r="F5" s="47" t="n"/>
    </row>
    <row r="6" ht="28.05" customHeight="1" s="42">
      <c r="A6" s="62" t="inlineStr">
        <is>
          <t>AKShare</t>
        </is>
      </c>
      <c r="B6" s="62" t="inlineStr">
        <is>
          <t>A/H 为主</t>
        </is>
      </c>
      <c r="C6" s="62" t="inlineStr">
        <is>
          <t>免费</t>
        </is>
      </c>
      <c r="D6" s="62" t="inlineStr">
        <is>
          <t>行情、财务、资金、宏观；接口偶有变动</t>
        </is>
      </c>
      <c r="E6" s="62" t="inlineStr">
        <is>
          <t>github.com/akfamily/akshare</t>
        </is>
      </c>
      <c r="F6" s="47" t="n"/>
    </row>
    <row r="7" ht="28.05" customHeight="1" s="42">
      <c r="A7" s="55" t="inlineStr">
        <is>
          <t>Tushare Pro</t>
        </is>
      </c>
      <c r="B7" s="55" t="inlineStr">
        <is>
          <t>A 股</t>
        </is>
      </c>
      <c r="C7" s="55" t="inlineStr">
        <is>
          <t>注册额度</t>
        </is>
      </c>
      <c r="D7" s="55" t="inlineStr">
        <is>
          <t>财务/行情较稳，积分限制部分接口</t>
        </is>
      </c>
      <c r="E7" s="55" t="inlineStr">
        <is>
          <t>tushare.pro</t>
        </is>
      </c>
      <c r="F7" s="47" t="n"/>
    </row>
    <row r="8" ht="28.05" customHeight="1" s="42">
      <c r="A8" s="62" t="inlineStr">
        <is>
          <t>yfinance / SEC EDGAR</t>
        </is>
      </c>
      <c r="B8" s="62" t="inlineStr">
        <is>
          <t>美股</t>
        </is>
      </c>
      <c r="C8" s="62" t="inlineStr">
        <is>
          <t>免费</t>
        </is>
      </c>
      <c r="D8" s="62" t="inlineStr">
        <is>
          <t>价格与 10-K/10-Q 原文</t>
        </is>
      </c>
      <c r="E8" s="62" t="inlineStr">
        <is>
          <t>sec.gov</t>
        </is>
      </c>
      <c r="F8" s="47" t="n"/>
    </row>
    <row r="9" ht="28.05" customHeight="1" s="42">
      <c r="A9" s="55" t="inlineStr">
        <is>
          <t>东方财富 / 理杏仁</t>
        </is>
      </c>
      <c r="B9" s="55" t="inlineStr">
        <is>
          <t>A/H</t>
        </is>
      </c>
      <c r="C9" s="55" t="inlineStr">
        <is>
          <t>免费/付费</t>
        </is>
      </c>
      <c r="D9" s="55" t="inlineStr">
        <is>
          <t>一致预期、估值、资金</t>
        </is>
      </c>
      <c r="E9" s="55" t="n"/>
      <c r="F9" s="47" t="n"/>
    </row>
    <row r="10" ht="28.05" customHeight="1" s="42">
      <c r="A10" s="62" t="inlineStr">
        <is>
          <t>公司年报 / 港交所披露易</t>
        </is>
      </c>
      <c r="B10" s="62" t="inlineStr">
        <is>
          <t>A/H</t>
        </is>
      </c>
      <c r="C10" s="62" t="inlineStr">
        <is>
          <t>免费</t>
        </is>
      </c>
      <c r="D10" s="62" t="inlineStr">
        <is>
          <t>最终事实来源，关键数字必须对到此处</t>
        </is>
      </c>
      <c r="E10" s="62" t="n"/>
      <c r="F10" s="47" t="n"/>
    </row>
    <row r="11"/>
    <row r="12" ht="22.05" customHeight="1" s="42">
      <c r="A12" s="64" t="inlineStr">
        <is>
          <t>估值与质量</t>
        </is>
      </c>
    </row>
    <row r="13" ht="22.05" customHeight="1" s="42">
      <c r="A13" s="51" t="inlineStr">
        <is>
          <t>资源</t>
        </is>
      </c>
      <c r="B13" s="51" t="inlineStr">
        <is>
          <t>用途</t>
        </is>
      </c>
      <c r="C13" s="46" t="n"/>
      <c r="D13" s="46" t="n"/>
      <c r="E13" s="46" t="n"/>
      <c r="F13" s="47" t="n"/>
    </row>
    <row r="14" ht="32" customHeight="1" s="42">
      <c r="A14" s="9" t="inlineStr">
        <is>
          <t>Damodaran ginzu 表</t>
        </is>
      </c>
      <c r="B14" s="55" t="inlineStr">
        <is>
          <t>非金融 FCFF：pages.stern.nyu.edu/~adamodar/pc/fcffsimpleginzu.xlsx ；金融 DDM：divginzu.xlsx</t>
        </is>
      </c>
      <c r="C14" s="46" t="n"/>
      <c r="D14" s="46" t="n"/>
      <c r="E14" s="46" t="n"/>
      <c r="F14" s="47" t="n"/>
    </row>
    <row r="15" ht="32" customHeight="1" s="42">
      <c r="A15" s="9" t="inlineStr">
        <is>
          <t>本模板评分表</t>
        </is>
      </c>
      <c r="B15" s="55" t="inlineStr">
        <is>
          <t>Piotroski F、Altman Z、Beneish M 快速体检</t>
        </is>
      </c>
      <c r="C15" s="46" t="n"/>
      <c r="D15" s="46" t="n"/>
      <c r="E15" s="46" t="n"/>
      <c r="F15" s="47" t="n"/>
    </row>
    <row r="16" ht="32" customHeight="1" s="42">
      <c r="A16" s="9" t="inlineStr">
        <is>
          <t>investTemplate</t>
        </is>
      </c>
      <c r="B16" s="55" t="inlineStr">
        <is>
          <t>A/H 价值股、高股息、烟蒂、央国企深度体检（GitHub: sunheyi6/investTemplate）</t>
        </is>
      </c>
      <c r="C16" s="46" t="n"/>
      <c r="D16" s="46" t="n"/>
      <c r="E16" s="46" t="n"/>
      <c r="F16" s="47" t="n"/>
    </row>
    <row r="17"/>
    <row r="18" ht="22.05" customHeight="1" s="42">
      <c r="A18" s="64" t="inlineStr">
        <is>
          <t>最低可行工具链</t>
        </is>
      </c>
    </row>
    <row r="19" ht="28.05" customHeight="1" s="42">
      <c r="A19" s="55" t="inlineStr">
        <is>
          <t>· A 股：年报 PDF + 本模板 + 东方财富一致预期。深度价值再上 investTemplate。</t>
        </is>
      </c>
      <c r="B19" s="46" t="n"/>
      <c r="C19" s="46" t="n"/>
      <c r="D19" s="46" t="n"/>
      <c r="E19" s="46" t="n"/>
      <c r="F19" s="47" t="n"/>
    </row>
    <row r="20" ht="28.05" customHeight="1" s="42">
      <c r="A20" s="55" t="inlineStr">
        <is>
          <t>· 港股：年报 / 披露易 + 本模板。代码用 0992.HK 这种 Yahoo 形式便于对照行情。</t>
        </is>
      </c>
      <c r="B20" s="46" t="n"/>
      <c r="C20" s="46" t="n"/>
      <c r="D20" s="46" t="n"/>
      <c r="E20" s="46" t="n"/>
      <c r="F20" s="47" t="n"/>
    </row>
    <row r="21" ht="28.05" customHeight="1" s="42">
      <c r="A21" s="55" t="inlineStr">
        <is>
          <t>· 美股：10-K + 本模板 +（可选）Damodaran + 期权 IV。</t>
        </is>
      </c>
      <c r="B21" s="46" t="n"/>
      <c r="C21" s="46" t="n"/>
      <c r="D21" s="46" t="n"/>
      <c r="E21" s="46" t="n"/>
      <c r="F21" s="47" t="n"/>
    </row>
    <row r="22" ht="28.05" customHeight="1" s="42">
      <c r="A22" s="55" t="inlineStr">
        <is>
          <t>· 本模板不代替年报。黄格里的每一个关键数字都应该能指回一页财报或一份公告。</t>
        </is>
      </c>
      <c r="B22" s="46" t="n"/>
      <c r="C22" s="46" t="n"/>
      <c r="D22" s="46" t="n"/>
      <c r="E22" s="46" t="n"/>
      <c r="F22" s="47" t="n"/>
    </row>
  </sheetData>
  <mergeCells count="19">
    <mergeCell ref="B16:F16"/>
    <mergeCell ref="E5:F5"/>
    <mergeCell ref="A12:F12"/>
    <mergeCell ref="A18:F18"/>
    <mergeCell ref="A21:F21"/>
    <mergeCell ref="E8:F8"/>
    <mergeCell ref="A2:F2"/>
    <mergeCell ref="E10:F10"/>
    <mergeCell ref="A22:F22"/>
    <mergeCell ref="A4:F4"/>
    <mergeCell ref="B14:F14"/>
    <mergeCell ref="A20:F20"/>
    <mergeCell ref="E9:F9"/>
    <mergeCell ref="B13:F13"/>
    <mergeCell ref="E6:F6"/>
    <mergeCell ref="A19:F19"/>
    <mergeCell ref="E7:F7"/>
    <mergeCell ref="B15:F15"/>
    <mergeCell ref="A1:F1"/>
  </mergeCells>
  <printOptions horizontalCentered="1"/>
  <pageMargins left="0.5" right="0.5" top="0.6" bottom="0.6" header="0.5" footer="0.5"/>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Stock Analysis Toolkit</dc:creator>
  <dc:title>个股分析工具箱</dc:title>
  <dcterms:created xsi:type="dcterms:W3CDTF">2026-08-26T04:21:23Z</dcterms:created>
  <dcterms:modified xsi:type="dcterms:W3CDTF">2026-09-30T19:15:25Z</dcterms:modified>
  <cp:lastModifiedBy>张哥</cp:lastModifiedBy>
</cp:coreProperties>
</file>