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 h:mm:ss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7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48" t="inlineStr">
        <is>
          <t>OPCH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48" t="inlineStr">
        <is>
          <t>Option Care Health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48" t="inlineStr">
        <is>
          <t>美股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3" t="n">
        <v>46302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4" t="n">
        <v>31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48" t="inlineStr">
        <is>
          <t>USD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48" t="inlineStr">
        <is>
          <t>居家输液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48" t="inlineStr">
        <is>
          <t>FY2025，财年截至2025-12-31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41" t="inlineStr">
        <is>
          <t>居家和替代场所输液说得清，FY2025经营现金流2.584亿美元且高于净利润。10月6日收盘31.00美元已经贴着32.05美元现金要约，概率加权价低于现价，等待而不是追入。</t>
        </is>
      </c>
      <c r="C13" s="65" t="n"/>
      <c r="D13" s="65" t="n"/>
      <c r="E13" s="65" t="n"/>
      <c r="F13" s="66" t="n"/>
    </row>
    <row r="14" ht="36" customHeight="1" s="42">
      <c r="B14" s="67" t="n"/>
      <c r="C14" s="68" t="n"/>
      <c r="D14" s="68" t="n"/>
      <c r="E14" s="68" t="n"/>
      <c r="F14" s="69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48" t="inlineStr">
        <is>
          <t>贵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48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48" t="inlineStr">
        <is>
          <t>等待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48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48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48" t="inlineStr">
        <is>
          <t>把尚未交割的每股32.05美元写成已经收到的现金，或忽略8-K里州医疗监管批准仍是交割条件。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0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1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1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2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48" t="inlineStr">
        <is>
          <t>是</t>
        </is>
      </c>
      <c r="D6" s="41" t="inlineStr">
        <is>
          <t>向患者、支付方和转诊网络提供居家及替代场所输液，收费来自输液服务，成本主要是药品、临床交付和销售管理费用。SEC 10-K companyfacts：FY2025营业收入5649.519百万美元，营业利润337.906。联合新闻稿（8-K Exhibit 99.1，2026-10-06）称其为独立的居家和替代场所输液服务商。2026-10-07要闻没有点名。收盘复盘写的是收购，不是新的服务收入。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48" t="inlineStr">
        <is>
          <t>是</t>
        </is>
      </c>
      <c r="D7" s="41" t="inlineStr">
        <is>
          <t>是经营公司，不是融资壳。10-K是持续经营的输液公司，FY2025经营现金流为正。8-K写董事会一致认为合并协议对股东公平，并建议股东批准。这是出售经营资产的协议。Yahoo Finance heldPercentInsiders为0.0128，没有单一实控人把上市公司当成没有业务的融资工具。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48" t="inlineStr">
        <is>
          <t>是</t>
        </is>
      </c>
      <c r="D8" s="41" t="inlineStr">
        <is>
          <t>是。10-K现金流量表：FY2025经营活动现金流258.447百万美元，净利润207.585，两者都为正，现金更高。FY2021至FY2024经营现金流分别为208.569、267.547、371.295、323.392，都为正。来源：SEC companyfacts，NetCashProvidedByUsedInOperatingActivities与NetIncomeLoss。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48" t="inlineStr">
        <is>
          <t>是</t>
        </is>
      </c>
      <c r="D9" s="41" t="inlineStr">
        <is>
          <t>是。FY2025有息负债按LongTermDebt 1160.832加经营租赁负债112.515，合计1273.347百万美元。现金232.624。利息费用54.558，营业利润337.906，覆盖6.19倍。一年内到期长期债务6.780，加流动经营租赁负债23.996，合计30.776，低于现金。来源：SEC companyfacts。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48" t="inlineStr">
        <is>
          <t>是</t>
        </is>
      </c>
      <c r="D10" s="41" t="inlineStr">
        <is>
          <t>是。美国报表没有A股扣非。FY2025营业利润337.906百万美元，净利润207.585，税前利润282.900。Yahoo Finance的Normalized Income与净利润相同。主业利润为正，不是靠一笔正向公允价值撑起来。来源：SEC 10-K companyfacts与Yahoo Finance利润表对照。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41" t="inlineStr">
        <is>
          <t>向支付方和患者收居家及替代场所输液服务费。FY2025收入56.50亿美元，经营现金流2.58亿美元。</t>
        </is>
      </c>
      <c r="B15" s="65" t="n"/>
      <c r="C15" s="65" t="n"/>
      <c r="D15" s="65" t="n"/>
      <c r="E15" s="65" t="n"/>
      <c r="F15" s="66" t="n"/>
    </row>
    <row r="16" ht="22.05" customHeight="1" s="42">
      <c r="A16" s="73" t="n"/>
      <c r="F16" s="74" t="n"/>
    </row>
    <row r="17" ht="22.05" customHeight="1" s="42">
      <c r="A17" s="67" t="n"/>
      <c r="B17" s="68" t="n"/>
      <c r="C17" s="68" t="n"/>
      <c r="D17" s="68" t="n"/>
      <c r="E17" s="68" t="n"/>
      <c r="F17" s="69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inlineStr">
        <is>
          <t>2021</t>
        </is>
      </c>
      <c r="C6" s="25" t="inlineStr">
        <is>
          <t>2022</t>
        </is>
      </c>
      <c r="D6" s="25" t="inlineStr">
        <is>
          <t>2023</t>
        </is>
      </c>
      <c r="E6" s="25" t="inlineStr">
        <is>
          <t>2024</t>
        </is>
      </c>
      <c r="F6" s="25" t="inlineStr">
        <is>
          <t>2025</t>
        </is>
      </c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百万美元</t>
        </is>
      </c>
    </row>
    <row r="7" ht="20" customHeight="1" s="42">
      <c r="A7" s="9" t="inlineStr">
        <is>
          <t>营业收入</t>
        </is>
      </c>
      <c r="B7" s="64" t="n">
        <v>3438.64</v>
      </c>
      <c r="C7" s="64" t="n">
        <v>3869.036</v>
      </c>
      <c r="D7" s="64" t="n">
        <v>4302.324</v>
      </c>
      <c r="E7" s="64" t="n">
        <v>4998.202</v>
      </c>
      <c r="F7" s="64" t="n">
        <v>5649.519</v>
      </c>
      <c r="G7" s="75">
        <f>IF(OR(E7="",E7=0,F7=""),"",(F7-E7)/E7)</f>
        <v/>
      </c>
      <c r="H7" s="28" t="n"/>
      <c r="I7" s="41" t="inlineStr">
        <is>
          <t>SEC companyfacts，10-K FY，取每个期末最新一份申报。单位百万美元。收入用RevenueFromContractWithCustomerExcludingAssessedTax。2023至2025年与Yahoo总收入一致。2022年同一标签是3869.036，另有Revenues标签3944.735（2025-02-26申报），本表不用后者，避免和毛利口径混用。</t>
        </is>
      </c>
    </row>
    <row r="8" ht="20" customHeight="1" s="42">
      <c r="A8" s="9" t="inlineStr">
        <is>
          <t>毛利</t>
        </is>
      </c>
      <c r="B8" s="64" t="n">
        <v>779.606</v>
      </c>
      <c r="C8" s="64" t="n">
        <v>866.918</v>
      </c>
      <c r="D8" s="64" t="n">
        <v>981.223</v>
      </c>
      <c r="E8" s="64" t="n">
        <v>1012.993</v>
      </c>
      <c r="F8" s="64" t="n">
        <v>1087.895</v>
      </c>
      <c r="G8" s="75">
        <f>IF(OR(E8="",E8=0,F8=""),"",(F8-E8)/E8)</f>
        <v/>
      </c>
      <c r="H8" s="28" t="n"/>
      <c r="I8" s="41" t="inlineStr">
        <is>
          <t>SEC companyfacts，10-K FY，取每个期末最新一份申报。单位百万美元。GrossProfit。</t>
        </is>
      </c>
    </row>
    <row r="9" ht="20" customHeight="1" s="42">
      <c r="A9" s="9" t="inlineStr">
        <is>
          <t>毛利率</t>
        </is>
      </c>
      <c r="B9" s="76" t="n">
        <v>0.2267192843682386</v>
      </c>
      <c r="C9" s="76" t="n">
        <v>0.2240656328863314</v>
      </c>
      <c r="D9" s="76" t="n">
        <v>0.2280681324790974</v>
      </c>
      <c r="E9" s="76" t="n">
        <v>0.2026714806644469</v>
      </c>
      <c r="F9" s="76" t="n">
        <v>0.1925641811276323</v>
      </c>
      <c r="G9" s="75">
        <f>IF(OR(E9="",F9=""),"",F9-E9)</f>
        <v/>
      </c>
      <c r="H9" s="75">
        <f>IF(OR(F7="",F7=0,F8=""),"",F8/F7)</f>
        <v/>
      </c>
      <c r="I9" s="41" t="inlineStr">
        <is>
          <t>毛利率等于本表毛利除以本表收入，小数。2025年为0.1926，比2024年的0.2027低0.0101。</t>
        </is>
      </c>
    </row>
    <row r="10" ht="20" customHeight="1" s="42">
      <c r="A10" s="9" t="inlineStr">
        <is>
          <t>扣非净利润</t>
        </is>
      </c>
      <c r="B10" s="64" t="n">
        <v>139.898</v>
      </c>
      <c r="C10" s="64" t="n">
        <v>150.556</v>
      </c>
      <c r="D10" s="64" t="n">
        <v>267.09</v>
      </c>
      <c r="E10" s="64" t="n">
        <v>211.823</v>
      </c>
      <c r="F10" s="64" t="n">
        <v>207.585</v>
      </c>
      <c r="G10" s="75">
        <f>IF(OR(E10="",E10=0,F10=""),"",(F10-E10)/E10)</f>
        <v/>
      </c>
      <c r="H10" s="28" t="n"/>
      <c r="I10" s="41" t="inlineStr">
        <is>
          <t>美国报表没有扣非。Yahoo Finance FY2022至FY2025的Normalized Income与净利润相同。2021年没有取到Normalized Income，这一格沿用净利润，不是另一份审计科目。</t>
        </is>
      </c>
    </row>
    <row r="11" ht="20" customHeight="1" s="42">
      <c r="A11" s="9" t="inlineStr">
        <is>
          <t>净利润</t>
        </is>
      </c>
      <c r="B11" s="64" t="n">
        <v>139.898</v>
      </c>
      <c r="C11" s="64" t="n">
        <v>150.556</v>
      </c>
      <c r="D11" s="64" t="n">
        <v>267.09</v>
      </c>
      <c r="E11" s="64" t="n">
        <v>211.823</v>
      </c>
      <c r="F11" s="64" t="n">
        <v>207.585</v>
      </c>
      <c r="G11" s="75">
        <f>IF(OR(E11="",E11=0,F11=""),"",(F11-E11)/E11)</f>
        <v/>
      </c>
      <c r="H11" s="28" t="n"/>
      <c r="I11" s="41" t="inlineStr">
        <is>
          <t>SEC companyfacts，10-K FY，取每个期末最新一份申报。单位百万美元。NetIncomeLoss。</t>
        </is>
      </c>
    </row>
    <row r="12" ht="20" customHeight="1" s="42">
      <c r="A12" s="9" t="inlineStr">
        <is>
          <t>经营现金流</t>
        </is>
      </c>
      <c r="B12" s="64" t="n">
        <v>208.569</v>
      </c>
      <c r="C12" s="64" t="n">
        <v>267.547</v>
      </c>
      <c r="D12" s="64" t="n">
        <v>371.295</v>
      </c>
      <c r="E12" s="64" t="n">
        <v>323.392</v>
      </c>
      <c r="F12" s="64" t="n">
        <v>258.447</v>
      </c>
      <c r="G12" s="75">
        <f>IF(OR(E12="",E12=0,F12=""),"",(F12-E12)/E12)</f>
        <v/>
      </c>
      <c r="H12" s="77">
        <f>IF(OR(F11="",F11=0,F12=""),"",F12/F11)</f>
        <v/>
      </c>
      <c r="I12" s="41" t="inlineStr">
        <is>
          <t>SEC companyfacts，10-K FY，取每个期末最新一份申报。单位百万美元。NetCashProvidedByUsedInOperatingActivities。FY2025为258.447，高于净利润207.585。</t>
        </is>
      </c>
    </row>
    <row r="13" ht="20" customHeight="1" s="42">
      <c r="A13" s="9" t="inlineStr">
        <is>
          <t>资本开支</t>
        </is>
      </c>
      <c r="B13" s="64" t="n">
        <v>25.632</v>
      </c>
      <c r="C13" s="64" t="n">
        <v>35.358</v>
      </c>
      <c r="D13" s="64" t="n">
        <v>41.866</v>
      </c>
      <c r="E13" s="64" t="n">
        <v>35.606</v>
      </c>
      <c r="F13" s="64" t="n">
        <v>41.307</v>
      </c>
      <c r="G13" s="75">
        <f>IF(OR(E13="",E13=0,F13=""),"",(F13-E13)/E13)</f>
        <v/>
      </c>
      <c r="H13" s="28" t="n"/>
      <c r="I13" s="41" t="inlineStr">
        <is>
          <t>SEC companyfacts，10-K FY，取每个期末最新一份申报。单位百万美元。PaymentsToAcquirePropertyPlantAndEquipment，只含购置不动产、厂房和设备。</t>
        </is>
      </c>
    </row>
    <row r="14" ht="20" customHeight="1" s="42">
      <c r="A14" s="9" t="inlineStr">
        <is>
          <t>自由现金流</t>
        </is>
      </c>
      <c r="B14" s="64" t="n">
        <v>182.937</v>
      </c>
      <c r="C14" s="64" t="n">
        <v>232.189</v>
      </c>
      <c r="D14" s="64" t="n">
        <v>329.429</v>
      </c>
      <c r="E14" s="64" t="n">
        <v>287.786</v>
      </c>
      <c r="F14" s="64" t="n">
        <v>217.14</v>
      </c>
      <c r="G14" s="75">
        <f>IF(OR(E14="",E14=0,F14=""),"",(F14-E14)/E14)</f>
        <v/>
      </c>
      <c r="H14" s="78">
        <f>IF(OR(F12="",F13=""),"",F12-F13)</f>
        <v/>
      </c>
      <c r="I14" s="41" t="inlineStr">
        <is>
          <t>自由现金流等于经营现金流减本表资本开支。</t>
        </is>
      </c>
    </row>
    <row r="15" ht="20" customHeight="1" s="42">
      <c r="A15" s="9" t="inlineStr">
        <is>
          <t>ROE</t>
        </is>
      </c>
      <c r="B15" s="76" t="n">
        <v>0.1276668750370732</v>
      </c>
      <c r="C15" s="76" t="n">
        <v>0.1175305592646963</v>
      </c>
      <c r="D15" s="76" t="n">
        <v>0.1902502871490771</v>
      </c>
      <c r="E15" s="76" t="n">
        <v>0.1499148946710971</v>
      </c>
      <c r="F15" s="76" t="n">
        <v>0.1520417808191586</v>
      </c>
      <c r="G15" s="75">
        <f>IF(OR(E15="",F15=""),"",F15-E15)</f>
        <v/>
      </c>
      <c r="H15" s="28" t="n"/>
      <c r="I15" s="41" t="inlineStr">
        <is>
          <t>ROE等于净利润除以期初与期末股东权益的平均。FY2021用到2020年末权益1015.724。不是10-K披露的加权ROE。</t>
        </is>
      </c>
    </row>
    <row r="16" ht="20" customHeight="1" s="42">
      <c r="A16" s="9" t="inlineStr">
        <is>
          <t>ROIC</t>
        </is>
      </c>
      <c r="B16" s="76" t="n"/>
      <c r="C16" s="76" t="n">
        <v>0.07822713382447764</v>
      </c>
      <c r="D16" s="76" t="n">
        <v>0.1043659637418975</v>
      </c>
      <c r="E16" s="76" t="n">
        <v>0.108786822187754</v>
      </c>
      <c r="F16" s="76" t="n">
        <v>0.1047464669487681</v>
      </c>
      <c r="G16" s="75">
        <f>IF(OR(E16="",F16=""),"",F16-E16)</f>
        <v/>
      </c>
      <c r="H16" s="28" t="n"/>
      <c r="I16" s="41" t="inlineStr">
        <is>
          <t>ROIC等于营业利润乘以(1减所得税/税前利润)，再除以权益加有息负债减现金。FY2021所得税为收益，这一年留空。没有可靠WACC。</t>
        </is>
      </c>
    </row>
    <row r="17" ht="20" customHeight="1" s="42">
      <c r="A17" s="9" t="inlineStr">
        <is>
          <t>总资产</t>
        </is>
      </c>
      <c r="B17" s="64" t="n">
        <v>2790.918</v>
      </c>
      <c r="C17" s="64" t="n">
        <v>3112.936</v>
      </c>
      <c r="D17" s="64" t="n">
        <v>3217.035</v>
      </c>
      <c r="E17" s="64" t="n">
        <v>3421.743</v>
      </c>
      <c r="F17" s="64" t="n">
        <v>3455.769</v>
      </c>
      <c r="G17" s="75">
        <f>IF(OR(E17="",E17=0,F17=""),"",(F17-E17)/E17)</f>
        <v/>
      </c>
      <c r="H17" s="28" t="n"/>
      <c r="I17" s="41" t="inlineStr">
        <is>
          <t>SEC companyfacts，10-K FY，取每个期末最新一份申报。单位百万美元。Assets。</t>
        </is>
      </c>
    </row>
    <row r="18" ht="20" customHeight="1" s="42">
      <c r="A18" s="9" t="inlineStr">
        <is>
          <t>有息负债</t>
        </is>
      </c>
      <c r="B18" s="64" t="n">
        <v>1159.481</v>
      </c>
      <c r="C18" s="64" t="n">
        <v>1155.025</v>
      </c>
      <c r="D18" s="64" t="n">
        <v>1166.412</v>
      </c>
      <c r="E18" s="64" t="n">
        <v>1217.973</v>
      </c>
      <c r="F18" s="64" t="n">
        <v>1273.347</v>
      </c>
      <c r="G18" s="75">
        <f>IF(OR(E18="",E18=0,F18=""),"",(F18-E18)/E18)</f>
        <v/>
      </c>
      <c r="H18" s="28" t="n"/>
      <c r="I18" s="41" t="inlineStr">
        <is>
          <t>有息负债等于LongTermDebt加OperatingLeaseLiability。FY2025为1160.832加112.515，等于1273.347，与Yahoo Finance的Total Debt一致。</t>
        </is>
      </c>
    </row>
    <row r="19" ht="20" customHeight="1" s="42">
      <c r="A19" s="9" t="inlineStr">
        <is>
          <t>现金及等价物</t>
        </is>
      </c>
      <c r="B19" s="64" t="n">
        <v>119.423</v>
      </c>
      <c r="C19" s="64" t="n">
        <v>294.186</v>
      </c>
      <c r="D19" s="64" t="n">
        <v>343.849</v>
      </c>
      <c r="E19" s="64" t="n">
        <v>412.565</v>
      </c>
      <c r="F19" s="64" t="n">
        <v>232.624</v>
      </c>
      <c r="G19" s="75">
        <f>IF(OR(E19="",E19=0,F19=""),"",(F19-E19)/E19)</f>
        <v/>
      </c>
      <c r="H19" s="28" t="n"/>
      <c r="I19" s="41" t="inlineStr">
        <is>
          <t>SEC companyfacts，10-K FY，取每个期末最新一份申报。单位百万美元。CashAndCashEquivalentsAtCarryingValue。</t>
        </is>
      </c>
    </row>
    <row r="20" ht="20" customHeight="1" s="42">
      <c r="A20" s="9" t="inlineStr">
        <is>
          <t>净负债</t>
        </is>
      </c>
      <c r="B20" s="64" t="n">
        <v>1040.058</v>
      </c>
      <c r="C20" s="64" t="n">
        <v>860.8389999999999</v>
      </c>
      <c r="D20" s="64" t="n">
        <v>822.5630000000001</v>
      </c>
      <c r="E20" s="64" t="n">
        <v>805.4079999999999</v>
      </c>
      <c r="F20" s="64" t="n">
        <v>1040.723</v>
      </c>
      <c r="G20" s="75">
        <f>IF(OR(E20="",E20=0,F20=""),"",(F20-E20)/E20)</f>
        <v/>
      </c>
      <c r="H20" s="78">
        <f>IF(OR(F18="",F19=""),"",F18-F19)</f>
        <v/>
      </c>
      <c r="I20" s="41" t="inlineStr">
        <is>
          <t>净负债等于有息负债减现金。</t>
        </is>
      </c>
    </row>
    <row r="21" ht="20" customHeight="1" s="42">
      <c r="A21" s="9" t="inlineStr">
        <is>
          <t>商誉</t>
        </is>
      </c>
      <c r="B21" s="64" t="n">
        <v>1477.564</v>
      </c>
      <c r="C21" s="64" t="n">
        <v>1533.424</v>
      </c>
      <c r="D21" s="64" t="n">
        <v>1540.246</v>
      </c>
      <c r="E21" s="64" t="n">
        <v>1540.246</v>
      </c>
      <c r="F21" s="64" t="n">
        <v>1606.743</v>
      </c>
      <c r="G21" s="75">
        <f>IF(OR(E21="",E21=0,F21=""),"",(F21-E21)/E21)</f>
        <v/>
      </c>
      <c r="H21" s="28" t="n"/>
      <c r="I21" s="41" t="inlineStr">
        <is>
          <t>SEC companyfacts，10-K FY，取每个期末最新一份申报。单位百万美元。Goodwill。FY2025占资产0.4649。</t>
        </is>
      </c>
    </row>
    <row r="22" ht="20" customHeight="1" s="42">
      <c r="A22" s="9" t="inlineStr">
        <is>
          <t>应收账款</t>
        </is>
      </c>
      <c r="B22" s="64" t="n">
        <v>338.242</v>
      </c>
      <c r="C22" s="64" t="n">
        <v>377.542</v>
      </c>
      <c r="D22" s="64" t="n">
        <v>377.658</v>
      </c>
      <c r="E22" s="64" t="n">
        <v>409.733</v>
      </c>
      <c r="F22" s="64" t="n">
        <v>473.566</v>
      </c>
      <c r="G22" s="75">
        <f>IF(OR(E22="",E22=0,F22=""),"",(F22-E22)/E22)</f>
        <v/>
      </c>
      <c r="H22" s="28" t="n"/>
      <c r="I22" s="41" t="inlineStr">
        <is>
          <t>SEC companyfacts，10-K FY，取每个期末最新一份申报。单位百万美元。AccountsReceivableNetCurrent。</t>
        </is>
      </c>
    </row>
    <row r="23" ht="20" customHeight="1" s="42">
      <c r="A23" s="9" t="inlineStr">
        <is>
          <t>存货</t>
        </is>
      </c>
      <c r="B23" s="64" t="n">
        <v>183.095</v>
      </c>
      <c r="C23" s="64" t="n">
        <v>224.281</v>
      </c>
      <c r="D23" s="64" t="n">
        <v>274.004</v>
      </c>
      <c r="E23" s="64" t="n">
        <v>388.131</v>
      </c>
      <c r="F23" s="64" t="n">
        <v>471.149</v>
      </c>
      <c r="G23" s="75">
        <f>IF(OR(E23="",E23=0,F23=""),"",(F23-E23)/E23)</f>
        <v/>
      </c>
      <c r="H23" s="28" t="n"/>
      <c r="I23" s="41" t="inlineStr">
        <is>
          <t>SEC companyfacts，10-K FY，取每个期末最新一份申报。单位百万美元。InventoryNet。FY2025同比0.2139，快于收入同比0.1303。</t>
        </is>
      </c>
    </row>
    <row r="24" ht="20" customHeight="1" s="42">
      <c r="A24" s="9" t="inlineStr">
        <is>
          <t>股本（稀释后）</t>
        </is>
      </c>
      <c r="B24" s="64" t="n">
        <v>179.925915</v>
      </c>
      <c r="C24" s="64" t="n">
        <v>181.957698</v>
      </c>
      <c r="D24" s="64" t="n">
        <v>174.575537</v>
      </c>
      <c r="E24" s="64" t="n">
        <v>166.261112</v>
      </c>
      <c r="F24" s="64" t="n">
        <v>156.857801</v>
      </c>
      <c r="G24" s="75">
        <f>IF(OR(E24="",E24=0,F24=""),"",(F24-E24)/E24)</f>
        <v/>
      </c>
      <c r="H24" s="28" t="n"/>
      <c r="I24" s="41" t="inlineStr">
        <is>
          <t>SEC companyfacts，10-K FY，取每个期末最新一份申报。单位百万美元。CommonStockSharesOutstanding，财年末已发行股数，单位百万股。现价市值不用这行，用Yahoo Finance的149,793,469股。</t>
        </is>
      </c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inlineStr">
        <is>
          <t>FY2021至FY2025收入34.39亿、38.69亿、43.02亿、49.98亿、56.50亿美元，最新一年同比0.1303。净利润1.40亿、1.51亿、2.67亿、2.12亿、2.08亿，最新一年同比约-0.020。自由现金流1.83亿、2.32亿、3.29亿、2.88亿、2.17亿。收入还在增，利润和自由现金流从FY2023的高点回落，三者不是同一方向的加速。</t>
        </is>
      </c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inlineStr">
        <is>
          <t>毛利率FY2024为0.2027，FY2025为0.1926，下降0.0101。销售及管理费用从630.251升到682.451，快于毛利从1012.993升到1087.895的速度。不是靠压缩费用撑利润，是毛利率变薄。</t>
        </is>
      </c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inlineStr">
        <is>
          <t>自算FY2025 ROIC 0.1047，FY2024 ROIC 0.1088。没有可靠WACC，不写成已经高于资本成本。ROE从FY2024的0.1499到FY2025的0.1520，有息负债从1217.973升到1273.347，不是靠减杠杆抬ROE。</t>
        </is>
      </c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inlineStr">
        <is>
          <t>FY2025经营现金流258.447，是净利润207.585的1.245倍。应计为负。资本开支41.307，自由现金流217.140。现金转化仍大于1，但经营现金流比FY2024的323.392少了0.2008，质量在变差，不是在变好。</t>
        </is>
      </c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inlineStr">
        <is>
          <t>现金232.624低于有息负债1273.347，净负债1040.723。一年内到期的长期债务6.780，加流动经营租赁负债23.996，合计30.776，低于现金。利息54.558，营业利润337.906，覆盖6.19倍。商誉1606.743，占总资产0.4649。存货同比0.2139，应收同比0.1558，都快于收入同比0.1303。</t>
        </is>
      </c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4" t="n">
        <v>211.823</v>
      </c>
      <c r="C7" s="64" t="n">
        <v>207.585</v>
      </c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64" t="n">
        <v>3421.743</v>
      </c>
      <c r="C8" s="64" t="n">
        <v>3455.769</v>
      </c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4" t="n">
        <v>323.392</v>
      </c>
      <c r="C9" s="64" t="n">
        <v>258.447</v>
      </c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4" t="n">
        <v>1217.973</v>
      </c>
      <c r="C10" s="64" t="n">
        <v>1273.347</v>
      </c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4" t="n">
        <v>1322.627</v>
      </c>
      <c r="C11" s="64" t="n">
        <v>1264.968</v>
      </c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4" t="n">
        <v>780.146</v>
      </c>
      <c r="C12" s="64" t="n">
        <v>829.348</v>
      </c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4" t="n">
        <v>166.261112</v>
      </c>
      <c r="C13" s="64" t="n">
        <v>156.857801</v>
      </c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64" t="n">
        <v>1012.993</v>
      </c>
      <c r="C14" s="64" t="n">
        <v>1087.895</v>
      </c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4" t="n">
        <v>4998.202</v>
      </c>
      <c r="C15" s="64" t="n">
        <v>5649.519</v>
      </c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4" t="n">
        <v>669.336</v>
      </c>
      <c r="C16" s="64" t="n">
        <v>876.921</v>
      </c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4" t="n">
        <v>321.833</v>
      </c>
      <c r="C17" s="64" t="n">
        <v>337.906</v>
      </c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4" t="n">
        <v>2017.505</v>
      </c>
      <c r="C18" s="64" t="n">
        <v>2129.376</v>
      </c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64" t="n"/>
      <c r="C19" s="64" t="n">
        <v>4643.597539</v>
      </c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64" t="n"/>
      <c r="C20" s="64" t="n"/>
      <c r="D20" s="45" t="inlineStr">
        <is>
          <t>留空则用右边自动值</t>
        </is>
      </c>
      <c r="E20" s="78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4" t="n">
        <v>409.733</v>
      </c>
      <c r="C21" s="64" t="n">
        <v>473.566</v>
      </c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4" t="n">
        <v>127.367</v>
      </c>
      <c r="C22" s="64" t="n">
        <v>139.236</v>
      </c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64" t="n">
        <v>63.498</v>
      </c>
      <c r="C23" s="64" t="n">
        <v>70.69</v>
      </c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4" t="n">
        <v>630.251</v>
      </c>
      <c r="C24" s="64" t="n">
        <v>682.451</v>
      </c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非制造/新兴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79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79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79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79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79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79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79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79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弱</t>
        </is>
      </c>
      <c r="C7" s="41" t="inlineStr">
        <is>
          <t>居家和替代场所输液需要牌照和支付方合同，这是准入，不是可以随意提价的品牌。FY2025毛利率只有0.1926，而且比上年低。</t>
        </is>
      </c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弱</t>
        </is>
      </c>
      <c r="C8" s="41" t="inlineStr">
        <is>
          <t>患者、转诊和支付方关系有转换成本。10-K和8-K都没有给出可引用的留存率，所以不写成已经审计过的转换成本。</t>
        </is>
      </c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无</t>
        </is>
      </c>
      <c r="C9" s="41" t="inlineStr">
        <is>
          <t>输液服务不是双边网络。多一个患者不会自动让另一个患者更有价值。</t>
        </is>
      </c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弱</t>
        </is>
      </c>
      <c r="C10" s="41" t="inlineStr">
        <is>
          <t>FY2025毛利率0.1926，低于FY2024的0.2027。规模没有在这一年变成更高的单位利润。同行中位待查。</t>
        </is>
      </c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弱</t>
        </is>
      </c>
      <c r="C11" s="41" t="inlineStr">
        <is>
          <t>它是大型独立居家输液商。McKesson和CD&amp;R愿意用现金买下它，说明这块业务可以买到，不是进不去的利基。</t>
        </is>
      </c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自算FY2025 ROIC 0.1047，FY2024为0.1088。没有可靠WACC，不写成完整周期高于资本成本。上行被每股32.05美元现金要约封住。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>
        <v>24.40944881889764</v>
      </c>
      <c r="C16" s="35" t="inlineStr">
        <is>
          <t>待查</t>
        </is>
      </c>
      <c r="D16" s="35" t="inlineStr">
        <is>
          <t>待查</t>
        </is>
      </c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>
        <v>3.500921324976836</v>
      </c>
      <c r="C17" s="35" t="inlineStr">
        <is>
          <t>待查</t>
        </is>
      </c>
      <c r="D17" s="35" t="inlineStr">
        <is>
          <t>待查</t>
        </is>
      </c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inlineStr">
        <is>
          <t>待查</t>
        </is>
      </c>
      <c r="C18" s="35" t="inlineStr">
        <is>
          <t>待查</t>
        </is>
      </c>
      <c r="D18" s="35" t="inlineStr">
        <is>
          <t>待查</t>
        </is>
      </c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>
        <v>13.91183599203125</v>
      </c>
      <c r="C19" s="35" t="inlineStr">
        <is>
          <t>待查</t>
        </is>
      </c>
      <c r="D19" s="35" t="inlineStr">
        <is>
          <t>待查</t>
        </is>
      </c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>
        <v>1.006160088850042</v>
      </c>
      <c r="C20" s="35" t="inlineStr">
        <is>
          <t>待查</t>
        </is>
      </c>
      <c r="D20" s="35" t="inlineStr">
        <is>
          <t>待查</t>
        </is>
      </c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>
        <v>0.04676115838556524</v>
      </c>
      <c r="C21" s="35" t="inlineStr">
        <is>
          <t>待查</t>
        </is>
      </c>
      <c r="D21" s="35" t="inlineStr">
        <is>
          <t>待查</t>
        </is>
      </c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6" t="n">
        <v>0.25</v>
      </c>
      <c r="C25" s="64" t="n">
        <v>1.27</v>
      </c>
      <c r="D25" s="80" t="n">
        <v>18.40157480314961</v>
      </c>
      <c r="E25" s="78">
        <f>IF(OR(C25="",D25=""),"",C25*D25)</f>
        <v/>
      </c>
      <c r="F25" s="75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6" t="n">
        <v>0.5</v>
      </c>
      <c r="C26" s="64" t="n">
        <v>1.27</v>
      </c>
      <c r="D26" s="80" t="n">
        <v>24.31174213941801</v>
      </c>
      <c r="E26" s="78">
        <f>IF(OR(C26="",D26=""),"",C26*D26)</f>
        <v/>
      </c>
      <c r="F26" s="75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6" t="n">
        <v>0.25</v>
      </c>
      <c r="C27" s="64" t="n">
        <v>1.27</v>
      </c>
      <c r="D27" s="80" t="n">
        <v>25.23622047244094</v>
      </c>
      <c r="E27" s="78">
        <f>IF(OR(C27="",D27=""),"",C27*D27)</f>
        <v/>
      </c>
      <c r="F27" s="75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0">
        <f>E26</f>
        <v/>
      </c>
      <c r="C28" s="70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78">
        <f>IF(ABS(SUM(B25:B27)-1)&gt;0.02,"请检查概率合计=100%",IF(COUNT(E25:E27)&lt;3,"",SUMPRODUCT(B25:B27,E25:E27)))</f>
        <v/>
      </c>
      <c r="C29" s="70">
        <f>B29</f>
        <v/>
      </c>
    </row>
    <row r="30" ht="15" customHeight="1" s="42">
      <c r="A30" s="9" t="inlineStr">
        <is>
          <t>期望价 vs 现价</t>
        </is>
      </c>
      <c r="B30" s="75">
        <f>IF(OR(B29="",封面!B9="",封面!B9=0),"",B29/封面!B9-1)</f>
        <v/>
      </c>
      <c r="C30" s="71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inlineStr">
        <is>
          <t>没有取到可引用的一致预期收入增速。8-K和联合新闻稿都没有给2027年收入指引。</t>
        </is>
      </c>
      <c r="C35" s="41" t="inlineStr">
        <is>
          <t>我不外推FY2025收入。基准只处理要约：2027年4月1日收到32.05美元，按8%折现。4月1日是新闻稿所写2027年上半年的中点。</t>
        </is>
      </c>
      <c r="D35" s="41" t="inlineStr">
        <is>
          <t>FY2025收入同比0.1303。五年市盈率中位待查。</t>
        </is>
      </c>
      <c r="E35" s="41" t="inlineStr">
        <is>
          <t>市场用31.00美元表达的是高成交概率的32.05美元，不是下一年的内生增长。</t>
        </is>
      </c>
      <c r="F35" s="41" t="inlineStr">
        <is>
          <t>2026-10-07收盘复盘Option Care段；SEC 8-K（2026-10-06）及Exhibit 99.1。</t>
        </is>
      </c>
    </row>
    <row r="36" ht="24" customHeight="1" s="42">
      <c r="A36" s="9" t="inlineStr">
        <is>
          <t>利润率</t>
        </is>
      </c>
      <c r="B36" s="41" t="inlineStr">
        <is>
          <t>FY2025营业利润率0.0598，等于337.906除以5649.519。毛利率0.1926。</t>
        </is>
      </c>
      <c r="C36" s="41" t="inlineStr">
        <is>
          <t>我不把毛利率回升写进情景。三情景共用FY2025稀释每股收益1.27美元，只为让模板的价格公式落到要约价和破裂价。</t>
        </is>
      </c>
      <c r="D36" s="41" t="inlineStr">
        <is>
          <t>毛利率FY2024为0.2027，FY2025为0.1926。</t>
        </is>
      </c>
      <c r="E36" s="41" t="inlineStr">
        <is>
          <t>利润率不是我额外乐观的地方。上行被现金要约封住。</t>
        </is>
      </c>
      <c r="F36" s="41" t="inlineStr">
        <is>
          <t>SEC 10-K营业利润、毛利与收入。</t>
        </is>
      </c>
    </row>
    <row r="37" ht="24" customHeight="1" s="42">
      <c r="A37" s="9" t="inlineStr">
        <is>
          <t>FCF / 派息</t>
        </is>
      </c>
      <c r="B37" s="41" t="inlineStr">
        <is>
          <t>FY2025自由现金流217.140百万美元，对当前股权市值的自由现金流收益率0.0468。这是历史现金流，不是要约对价。</t>
        </is>
      </c>
      <c r="C37" s="41" t="inlineStr">
        <is>
          <t>基准不把自由现金流按增长资本化。现金要约一旦交割，股东拿到的是32.05美元，不是永续自由现金流。</t>
        </is>
      </c>
      <c r="D37" s="41" t="inlineStr">
        <is>
          <t>自由现金流FY2023至FY2025为329.429、287.786、217.140百万美元，连续两年下降。</t>
        </is>
      </c>
      <c r="E37" s="41" t="inlineStr">
        <is>
          <t>现金流仍为正，但不证明31.00美元低于要约的现值。</t>
        </is>
      </c>
      <c r="F37" s="41" t="inlineStr">
        <is>
          <t>10-K经营现金流减购置不动产厂房设备的现金。市值用10月6日收盘乘Yahoo股数。</t>
        </is>
      </c>
    </row>
    <row r="38" ht="24" customHeight="1" s="42">
      <c r="A38" s="9" t="inlineStr">
        <is>
          <t>竞争格局</t>
        </is>
      </c>
      <c r="B38" s="41" t="inlineStr">
        <is>
          <t>收盘复盘把10月6日的上涨读成已经签署、尚未交割的现金收购。收盘31.00美元，低于32.05美元。</t>
        </is>
      </c>
      <c r="C38" s="41" t="inlineStr">
        <is>
          <t>我同意协议已经签署，不同意把交割写成已经发生。8-K写协议日是10月5日，新闻稿日期是10月6日。交割还要股东多数同意、HSR等待期，以及州医疗监管批准。</t>
        </is>
      </c>
      <c r="D38" s="41" t="inlineStr">
        <is>
          <t>10月5日收盘23.37美元是公告前价格。10月6日涨32.65%。20日涨30.58%里，大部分是这一天。</t>
        </is>
      </c>
      <c r="E38" s="41" t="inlineStr">
        <is>
          <t>预期差在交割概率和时间，不在新的输液订单。</t>
        </is>
      </c>
      <c r="F38" s="41" t="inlineStr">
        <is>
          <t>2026-10-07收盘复盘；SEC 8-K。2026-10-07要闻没有点名Option Care。</t>
        </is>
      </c>
    </row>
    <row r="39" ht="24" customHeight="1" s="42">
      <c r="A39" s="9" t="inlineStr">
        <is>
          <t>倍数/折现率</t>
        </is>
      </c>
      <c r="B39" s="41" t="inlineStr">
        <is>
          <t>静态市盈率24.41倍，用31.00除以FY2025稀释每股收益1.27。市净率3.50倍，股权市值4643.598百万美元除以FY2025权益1326.393。EV/EBITDA 13.91倍，企业价值用同一市值加有息负债1273.347减现金232.624。</t>
        </is>
      </c>
      <c r="C39" s="41" t="inlineStr">
        <is>
          <t>熊市价格23.37美元，等于1.27乘以18.4016。基准30.88美元，等于1.27乘以24.3117。牛市32.05美元，等于1.27乘以25.2362。概率0.25、0.50、0.25。</t>
        </is>
      </c>
      <c r="D39" s="41" t="inlineStr">
        <is>
          <t>自身五年中位和同行中位待查。不把新闻稿约37%的溢价再乘一次到牛市价格上。牛市就是要约价32.05美元。</t>
        </is>
      </c>
      <c r="E39" s="41" t="inlineStr">
        <is>
          <t>概率加权价29.29美元，比现价31.00美元低5.5%。毛价差只有3.4%。</t>
        </is>
      </c>
      <c r="F39" s="41" t="inlineStr">
        <is>
          <t>8%折现、0.25破裂概率和2027年4月1日是假设，不是公司指引。177天除以365。</t>
        </is>
      </c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inlineStr">
        <is>
          <t>过去30天读到的核心叙事只有一件事：CD&amp;R与McKesson以每股32.05美元现金收购，协议已于10月5日签署，10月6日发新闻稿，尚未交割。2026-10-07要闻没有写这家公司。收盘复盘写的是同一笔交易。</t>
        </is>
      </c>
      <c r="C7" s="48" t="inlineStr">
        <is>
          <t>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inlineStr">
        <is>
          <t>2026-10-07收盘复盘美股Option Care段；SEC 8-K与Exhibit 99.1。</t>
        </is>
      </c>
    </row>
    <row r="8" ht="36" customHeight="1" s="42">
      <c r="A8" s="9" t="inlineStr">
        <is>
          <t>社交与散户</t>
        </is>
      </c>
      <c r="B8" s="41" t="inlineStr">
        <is>
          <t>没有取到可靠的社交提及量。</t>
        </is>
      </c>
      <c r="C8" s="48" t="inlineStr">
        <is>
          <t>待查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inlineStr">
        <is>
          <t>社交提及量待查。</t>
        </is>
      </c>
    </row>
    <row r="9" ht="36" customHeight="1" s="42">
      <c r="A9" s="9" t="inlineStr">
        <is>
          <t>卖方与资金</t>
        </is>
      </c>
      <c r="B9" s="41" t="inlineStr">
        <is>
          <t>没有打开一致预期目标价或13F。新闻稿里的约37%溢价是相对10月5日收盘，不是卖方目标价。</t>
        </is>
      </c>
      <c r="C9" s="48" t="inlineStr">
        <is>
          <t>待查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inlineStr">
        <is>
          <t>卖方目标价和持仓方向待查。</t>
        </is>
      </c>
    </row>
    <row r="10" ht="36" customHeight="1" s="42">
      <c r="A10" s="9" t="inlineStr">
        <is>
          <t>期权与波动</t>
        </is>
      </c>
      <c r="B10" s="41" t="inlineStr">
        <is>
          <t>没有取到期权隐含波动率。10月6日成交量65,081,100股，收盘31.00美元，成交额2,017,514,100美元。截至10月6日的20个交易日，收盘价乘成交量的日均成交额150,730,543美元，被10月6日单日拉高。</t>
        </is>
      </c>
      <c r="C10" s="48" t="inlineStr">
        <is>
          <t>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inlineStr">
        <is>
          <t>雅虎日线OPCH，2026-09-09至2026-10-06共20个交易日。10月7日盘中价不计入。</t>
        </is>
      </c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是</t>
        </is>
      </c>
      <c r="D14" s="41" t="inlineStr">
        <is>
          <t>叙事一句：现金要约已经签署，收盘仍低于32.05美元。复盘写10月6日收盘31.00美元，前收23.37，涨32.65%，开盘31.04，最高31.11，最低30.97，成交额20.18亿美元。32.05除以23.37等于37.14%，和新闻稿约37%一致。</t>
        </is>
      </c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inlineStr">
        <is>
          <t>一致预期EPS待查。分歧不建立在没打开的卖方模型上。我用的是要约价32.05美元和破裂后回到23.37美元。</t>
        </is>
      </c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是</t>
        </is>
      </c>
      <c r="D16" s="41" t="inlineStr">
        <is>
          <t>复盘：10月6日涨32.65%，20日涨30.58%，成交额20.18亿美元，估算市值约46.4亿美元。雅虎10月6日收盘31.00美元，成交量65,081,100股，与复盘一致。10月7日盘中约31.035美元，触发时美东尚未收盘，不采用。</t>
        </is>
      </c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inlineStr">
        <is>
          <t>没有打开最新的13F。董事会一致建议股东批准是治理事实，不是基金持仓方向。</t>
        </is>
      </c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inlineStr">
        <is>
          <t>期权IV Rank和Put/Call待查。能核对的是成交：10月6日放量，全天贴着现金对价下方。</t>
        </is>
      </c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是</t>
        </is>
      </c>
      <c r="D19" s="41" t="inlineStr">
        <is>
          <t>市场已经定价一份已签署、未交割的32.05美元现金。我额外不押更高报价。按0.25的破裂概率和8%折现，加权价低于现价。</t>
        </is>
      </c>
      <c r="E19" s="46" t="n"/>
      <c r="F19" s="47" t="n"/>
    </row>
    <row r="20" ht="22.05" customHeight="1" s="42">
      <c r="A20" s="9" t="inlineStr">
        <is>
          <t>市场已定价</t>
        </is>
      </c>
      <c r="B20" s="41" t="inlineStr">
        <is>
          <t>每股32.05美元现金、企业价值约58亿美元、交割预计2027年上半年、收盘31.00美元低于要约价。若破裂回到23.37美元，现价对未折现要约隐含的交割概率约0.879。</t>
        </is>
      </c>
      <c r="C20" s="65" t="n"/>
      <c r="D20" s="65" t="n"/>
      <c r="E20" s="65" t="n"/>
      <c r="F20" s="66" t="n"/>
    </row>
    <row r="21" ht="22.05" customHeight="1" s="42">
      <c r="B21" s="67" t="n"/>
      <c r="C21" s="68" t="n"/>
      <c r="D21" s="68" t="n"/>
      <c r="E21" s="68" t="n"/>
      <c r="F21" s="69" t="n"/>
    </row>
    <row r="22" ht="22.05" customHeight="1" s="42">
      <c r="A22" s="9" t="inlineStr">
        <is>
          <t>我额外押的</t>
        </is>
      </c>
      <c r="B22" s="41" t="inlineStr">
        <is>
          <t>不押更高报价。押的是否定项：在31.00美元，按0.25的破裂概率和8%折到2027年4月1日，概率加权价低于现价。</t>
        </is>
      </c>
      <c r="C22" s="65" t="n"/>
      <c r="D22" s="65" t="n"/>
      <c r="E22" s="65" t="n"/>
      <c r="F22" s="66" t="n"/>
    </row>
    <row r="23" ht="22.05" customHeight="1" s="42">
      <c r="B23" s="67" t="n"/>
      <c r="C23" s="68" t="n"/>
      <c r="D23" s="68" t="n"/>
      <c r="E23" s="68" t="n"/>
      <c r="F23" s="69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1" t="n">
        <v>1000000</v>
      </c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6" t="n">
        <v>0.2461290322580645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1" t="n">
        <v>150730542.58</v>
      </c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6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2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2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2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2">
        <f>IF(B13="",IF(B14="","",B14),IF(B14="",B13,MIN(B13,B14)))</f>
        <v/>
      </c>
      <c r="C15" s="72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5">
        <f>IF(OR(B15="",B6="",B6=0),"",B15/B6)</f>
        <v/>
      </c>
      <c r="C16" s="71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2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inlineStr">
        <is>
          <t>股东投票或HSR、州医疗监管否决，协议终止，价格回到10月5日收盘23.37美元一带。这是攻击「31.00美元仍有安全垫」的一条。</t>
        </is>
      </c>
      <c r="C21" s="41" t="inlineStr">
        <is>
          <t>8-K把股东多数同意、HSR等待期、州医疗监管批准写成交割条件。公司终止费145,963,976美元，母公司终止费291,927,951美元。复盘写收盘31.00美元，低于32.05美元。交割不以融资为条件，但监管许可仍是条件。</t>
        </is>
      </c>
      <c r="D21" s="41" t="inlineStr">
        <is>
          <t>公司或买方是否公告协议终止、改价，或监管被拒绝。</t>
        </is>
      </c>
      <c r="E21" s="41" t="inlineStr">
        <is>
          <t>终止则按破裂处理，不把32.05美元留在目标价里。在31.00美元不新开仓。</t>
        </is>
      </c>
      <c r="F21" s="48" t="inlineStr">
        <is>
          <t>高</t>
        </is>
      </c>
    </row>
    <row r="22" ht="36" customHeight="1" s="42">
      <c r="A22" s="2" t="inlineStr">
        <is>
          <t>2</t>
        </is>
      </c>
      <c r="B22" s="41" t="inlineStr">
        <is>
          <t>交割晚于2027年上半年，3.4%的毛价差被时间吃掉。外部终止日写在2027年10月5日纽约时间23时59分。</t>
        </is>
      </c>
      <c r="C22" s="41" t="inlineStr">
        <is>
          <t>新闻稿写交割预计2027年上半年，不是已经确定的日期。8-K的外部日期是2027年10月5日。</t>
        </is>
      </c>
      <c r="D22" s="41" t="inlineStr">
        <is>
          <t>初步委托书有没有提交，HSR等待期和州医疗批准有没有结束。</t>
        </is>
      </c>
      <c r="E22" s="41" t="inlineStr">
        <is>
          <t>若官方时间表改到2027年上半年之后，基准折现要重算，不沿用30.88美元。</t>
        </is>
      </c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inlineStr">
        <is>
          <t>把32.05美元或FY2025每股收益1.27美元当成交割后还会向上修正的利润，从而在要约价之上找空间。</t>
        </is>
      </c>
      <c r="C23" s="41" t="inlineStr">
        <is>
          <t>8-K写每股对价32.05美元，不含利息。新闻稿写交割后股票不再在纳斯达克上市。没有写更高报价。</t>
        </is>
      </c>
      <c r="D23" s="41" t="inlineStr">
        <is>
          <t>后续文件里的每股现金对价有没有低于32.05美元，或者出现已宣布的更高报价。今天没有更高报价。</t>
        </is>
      </c>
      <c r="E23" s="41" t="inlineStr">
        <is>
          <t>没有更高报价时，不把静态市盈率当成加仓理由。要约价仍然是32.05美元。</t>
        </is>
      </c>
      <c r="F23" s="48" t="inlineStr">
        <is>
          <t>高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inlineStr">
        <is>
          <t>看到2027年上半年交割，或协议终止，或外部日2027年10月5日，以先发生者为准。</t>
        </is>
      </c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inlineStr">
        <is>
          <t>不在31.00美元买。若要建仓，价格应不高于概率加权价29.29美元，且8-K没有把要约价改低，也没有出现监管拒绝。</t>
        </is>
      </c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inlineStr">
        <is>
          <t>基本面证伪：协议终止或要约价低于32.05美元。价格补充位是2026年10月5日收盘23.37美元，相对31.00美元的跌幅0.2461。</t>
        </is>
      </c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inlineStr">
        <is>
          <t>涨到32.05美元是要约兑现，不是新的买入理由。到价附近应停止等待中的建仓，而不是因为逼近要约加仓。</t>
        </is>
      </c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inlineStr">
        <is>
          <t>下一次看委托书、HSR等待期和州医疗监管批准，以及2027年上半年是否仍是官方时间表。10月7日美股盘中价不改10月6日收盘。</t>
        </is>
      </c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inlineStr">
        <is>
          <t>与现金并购套利重叠。2026-10-06分析过的PTC是另一笔未交割现金要约。若组合已经押了同类未交割对价，不另开一笔同等风险。</t>
        </is>
      </c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是</t>
        </is>
      </c>
      <c r="C35" s="41" t="inlineStr">
        <is>
          <t>普通经营约定限制交割前的非常规动作。交割前的独立经营数字不能直接外推成交割后股东还能享有的增长。</t>
        </is>
      </c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否</t>
        </is>
      </c>
      <c r="C36" s="41" t="inlineStr">
        <is>
          <t>有息负债1273.347百万美元，经营现金流258.447，利息覆盖6.19倍。一年内到期借款加流动租赁负债30.776，低于现金232.624。杠杆不是先绑仓位的那一条。商誉占资产0.4649，在现金要约下不单独加大仓位。</t>
        </is>
      </c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是</t>
        </is>
      </c>
      <c r="C37" s="41" t="inlineStr">
        <is>
          <t>现价高于概率加权价29.29美元。毛价差只有0.0339，下行到23.37美元是0.2461。</t>
        </is>
      </c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是</t>
        </is>
      </c>
      <c r="C38" s="41" t="inlineStr">
        <is>
          <t>10月6日涨32.65%，20日涨30.58%。波动用破裂跌幅定仓位，不用当天涨幅去加大仓位。</t>
        </is>
      </c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否</t>
        </is>
      </c>
      <c r="C39" s="41" t="inlineStr">
        <is>
          <t>20个交易日日均成交额150730543美元。流动性上限约7536527美元，高于风险预算给出的金额，所以流动性不先绑仓位。</t>
        </is>
      </c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是</t>
        </is>
      </c>
      <c r="C40" s="41" t="inlineStr">
        <is>
          <t>交易尚未交割。8-K写公司终止费145,963,976美元，母公司终止费291,927,951美元，股权承诺函合计2,873,295,853美元，债务承诺最高31.5亿美元另加5亿美元循环额度。承诺的资金到位仍有惯常条件。州医疗监管批准还没有在打开的文件里写成已经取得。</t>
        </is>
      </c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41" t="inlineStr">
        <is>
          <t>① 内在价值：贵。概率加权价29.29美元，相对10月6日收盘31.00美元为-5.5%。基准价30.88美元。② 近月方向：偏多。复盘写10月6日涨32.65%，20日涨30.58%，收盘仍低于32.05美元。③ 动作：等待。区间：23.37 ~ 32.05 USD。最大风险：把未交割的32.05美元写成已经到手的现金。云端无 Excel，汇总按模板公式计算。初筛闸门按公式为通过，五项都是「是」，通过项数5。F为5，Z为4.60，M为-2.38。仓位上限2.03%。</t>
        </is>
      </c>
      <c r="B8" s="65" t="n"/>
      <c r="C8" s="65" t="n"/>
      <c r="D8" s="65" t="n"/>
      <c r="E8" s="65" t="n"/>
      <c r="F8" s="66" t="n"/>
    </row>
    <row r="9" ht="32" customHeight="1" s="42">
      <c r="A9" s="67" t="n"/>
      <c r="B9" s="68" t="n"/>
      <c r="C9" s="68" t="n"/>
      <c r="D9" s="68" t="n"/>
      <c r="E9" s="68" t="n"/>
      <c r="F9" s="69" t="n"/>
    </row>
    <row r="10" ht="22.05" customHeight="1" s="42">
      <c r="A10" s="43" t="inlineStr">
        <is>
          <t>1. 公司与商业模式</t>
        </is>
      </c>
    </row>
    <row r="11" ht="32" customHeight="1" s="42">
      <c r="A11" s="41" t="inlineStr">
        <is>
          <t>收入是居家和替代场所输液服务。联合新闻稿写它是独立的居家和替代场所输液服务商，每股32.05美元现金，企业价值约58亿美元。FY2025营业收入5649.519百万美元，毛利1087.895，营业利润337.906，净利润207.585，经营现金流258.447，购置不动产厂房设备支付41.307，自由现金流217.140。来源：SEC Form 10-K，财年截至2025-12-31，2026-02-24申报的companyfacts。稀释每股收益1.27美元。2026-10-07要闻没有点名这家公司。复盘写的并购事实与8-K一致。</t>
        </is>
      </c>
      <c r="B11" s="65" t="n"/>
      <c r="C11" s="65" t="n"/>
      <c r="D11" s="65" t="n"/>
      <c r="E11" s="65" t="n"/>
      <c r="F11" s="66" t="n"/>
    </row>
    <row r="12" ht="32" customHeight="1" s="42">
      <c r="A12" s="67" t="n"/>
      <c r="B12" s="68" t="n"/>
      <c r="C12" s="68" t="n"/>
      <c r="D12" s="68" t="n"/>
      <c r="E12" s="68" t="n"/>
      <c r="F12" s="69" t="n"/>
    </row>
    <row r="13" ht="22.05" customHeight="1" s="42">
      <c r="A13" s="43" t="inlineStr">
        <is>
          <t>2. 行业与竞争</t>
        </is>
      </c>
    </row>
    <row r="14" ht="32" customHeight="1" s="42">
      <c r="A14" s="41" t="inlineStr">
        <is>
          <t>周期位置不靠宏观。要闻写10月6日道指涨0.49%、标普500涨0.58%、纳指涨0.45%，采用的是路透点位。复盘的雅虎点位差在0.02点和0.24点以内，个股用雅虎。OPCH涨32.65%是收购协议，不是指数。同行倍数中位待查，不编造。会改变股东回报的文件是合并协议，不是新的输液订单。A股10月1日至7日休市，与这只美股的10月6日收盘不是同一交易日。</t>
        </is>
      </c>
      <c r="B14" s="65" t="n"/>
      <c r="C14" s="65" t="n"/>
      <c r="D14" s="65" t="n"/>
      <c r="E14" s="65" t="n"/>
      <c r="F14" s="66" t="n"/>
    </row>
    <row r="15" ht="32" customHeight="1" s="42">
      <c r="A15" s="67" t="n"/>
      <c r="B15" s="68" t="n"/>
      <c r="C15" s="68" t="n"/>
      <c r="D15" s="68" t="n"/>
      <c r="E15" s="68" t="n"/>
      <c r="F15" s="69" t="n"/>
    </row>
    <row r="16" ht="22.05" customHeight="1" s="42">
      <c r="A16" s="43" t="inlineStr">
        <is>
          <t>3. 财务质量</t>
        </is>
      </c>
    </row>
    <row r="17" ht="32" customHeight="1" s="42">
      <c r="A17" s="41" t="inlineStr">
        <is>
          <t>FY2021至FY2025收入34.39亿、38.69亿、43.02亿、49.98亿、56.50亿美元。毛利率0.2267、0.2241、0.2281、0.2027、0.1926。净利润1.40亿、1.51亿、2.67亿、2.12亿、2.08亿美元。经营现金流2.09亿、2.68亿、3.71亿、3.23亿、2.58亿美元。自由现金流1.83亿、2.32亿、3.29亿、2.88亿、2.17亿美元。FY2025经营现金流是净利润的1.245倍。存货同比0.2139，快于收入0.1303。商誉占资产0.4649。可信度A，数字对到SEC 10-K companyfacts。Normalized Income与净利润相同，没有另造扣非。</t>
        </is>
      </c>
      <c r="B17" s="65" t="n"/>
      <c r="C17" s="65" t="n"/>
      <c r="D17" s="65" t="n"/>
      <c r="E17" s="65" t="n"/>
      <c r="F17" s="66" t="n"/>
    </row>
    <row r="18" ht="32" customHeight="1" s="42">
      <c r="A18" s="67" t="n"/>
      <c r="B18" s="68" t="n"/>
      <c r="C18" s="68" t="n"/>
      <c r="D18" s="68" t="n"/>
      <c r="E18" s="68" t="n"/>
      <c r="F18" s="69" t="n"/>
    </row>
    <row r="19" ht="22.05" customHeight="1" s="42">
      <c r="A19" s="43" t="inlineStr">
        <is>
          <t>4. 估值</t>
        </is>
      </c>
    </row>
    <row r="20" ht="32" customHeight="1" s="42">
      <c r="A20" s="41" t="inlineStr">
        <is>
          <t>相对：静态市盈率24.41倍，分母是FY2025稀释每股收益1.27美元，分子是31.00美元。市净率3.50倍。股权市值用Yahoo Finance sharesOutstanding 149,793,469乘31.00美元，等于4643.598百万美元。复盘估算市值约46.4亿美元，和这个自算数差在筛选器取整。10-K期末股数156,857,801不用于现价市值。EV/EBITDA 13.91倍，EV/Sales 1.0062，自由现金流收益率0.0468。五年中位和同行中位待查。绝对：熊市23.37美元，是10月5日收盘。基准30.88美元，是32.05美元按8%折177天到2027年4月1日。牛市32.05美元，是要约价。概率0.25、0.50、0.25，合计1。1.27美元只是模板「EPS乘倍数」的桥，不是新的盈利预测。概率加权价29.29美元，比现价低5.5%。共识EPS待查。我的分歧是交割概率和时间，不是明年利润率。</t>
        </is>
      </c>
      <c r="B20" s="65" t="n"/>
      <c r="C20" s="65" t="n"/>
      <c r="D20" s="65" t="n"/>
      <c r="E20" s="65" t="n"/>
      <c r="F20" s="66" t="n"/>
    </row>
    <row r="21" ht="32" customHeight="1" s="42">
      <c r="A21" s="67" t="n"/>
      <c r="B21" s="68" t="n"/>
      <c r="C21" s="68" t="n"/>
      <c r="D21" s="68" t="n"/>
      <c r="E21" s="68" t="n"/>
      <c r="F21" s="69" t="n"/>
    </row>
    <row r="22" ht="22.05" customHeight="1" s="42">
      <c r="A22" s="43" t="inlineStr">
        <is>
          <t>5. 情绪与预期差</t>
        </is>
      </c>
    </row>
    <row r="23" ht="32" customHeight="1" s="42">
      <c r="A23" s="41" t="inlineStr">
        <is>
          <t>叙事一句：协议已签署，钱还没到账，收盘低于32.05美元。新闻热，10月6日放量，社交、卖方目标价和期权待查。市场已定价32.05美元里的大部分。若破裂价格是23.37美元、成功价格不折现，31.00美元隐含交割概率约0.879。我额外不押更高报价。我假设破裂概率0.25、交割中点2027年4月1日、折现8%，加权价29.29美元，低于现价。复盘写开盘31.04、最高31.11、最低30.97，全天贴着现金对价下方。要闻没有第二套订单故事。</t>
        </is>
      </c>
      <c r="B23" s="65" t="n"/>
      <c r="C23" s="65" t="n"/>
      <c r="D23" s="65" t="n"/>
      <c r="E23" s="65" t="n"/>
      <c r="F23" s="66" t="n"/>
    </row>
    <row r="24" ht="32" customHeight="1" s="42">
      <c r="A24" s="67" t="n"/>
      <c r="B24" s="68" t="n"/>
      <c r="C24" s="68" t="n"/>
      <c r="D24" s="68" t="n"/>
      <c r="E24" s="68" t="n"/>
      <c r="F24" s="69" t="n"/>
    </row>
    <row r="25" ht="22.05" customHeight="1" s="42">
      <c r="A25" s="43" t="inlineStr">
        <is>
          <t>6. 催化剂（3–12 个月）</t>
        </is>
      </c>
    </row>
    <row r="26" ht="32" customHeight="1" s="42">
      <c r="A26" s="41" t="inlineStr">
        <is>
          <t>事件：股东多数同意；HSR等待期；州医疗监管批准；官方交割时间是否仍是2027年上半年。若兑现，股东在交割时收到每股32.05美元现金，普通股按新闻稿所述不再在纳斯达克上市。看的数字是要约价有没有改、交割有没有发生。若不兑现，32.05美元不是收入，价格参照23.37美元。8-K写交割不以买方取得融资为条件，但股权承诺函和债务承诺仍有惯常条件。外部终止日是2027年10月5日。</t>
        </is>
      </c>
      <c r="B26" s="65" t="n"/>
      <c r="C26" s="65" t="n"/>
      <c r="D26" s="65" t="n"/>
      <c r="E26" s="65" t="n"/>
      <c r="F26" s="66" t="n"/>
    </row>
    <row r="27" ht="32" customHeight="1" s="42">
      <c r="A27" s="67" t="n"/>
      <c r="B27" s="68" t="n"/>
      <c r="C27" s="68" t="n"/>
      <c r="D27" s="68" t="n"/>
      <c r="E27" s="68" t="n"/>
      <c r="F27" s="69" t="n"/>
    </row>
    <row r="28" ht="22.05" customHeight="1" s="42">
      <c r="A28" s="43" t="inlineStr">
        <is>
          <t>7. 风险与 Pre-mortem</t>
        </is>
      </c>
    </row>
    <row r="29" ht="32" customHeight="1" s="42">
      <c r="A29" s="41" t="inlineStr">
        <is>
          <t>一年后失败的三个原因。第一，监管或股东否决，价格回到23.37美元一带，这是攻击现价的核心一条。监控是终止公告和监管决定。第二，交割拖过2027年上半年，3.4%的毛价差覆盖不了等待。监控是委托书和时间表。第三，把32.05美元或FY2025的1.27美元每股收益当成还会上修的空间。监控是后续文件里的每股现金对价。要约本身在31.00美元没有留下按8%折现之后的安全垫。</t>
        </is>
      </c>
      <c r="B29" s="65" t="n"/>
      <c r="C29" s="65" t="n"/>
      <c r="D29" s="65" t="n"/>
      <c r="E29" s="65" t="n"/>
      <c r="F29" s="66" t="n"/>
    </row>
    <row r="30" ht="32" customHeight="1" s="42">
      <c r="A30" s="67" t="n"/>
      <c r="B30" s="68" t="n"/>
      <c r="C30" s="68" t="n"/>
      <c r="D30" s="68" t="n"/>
      <c r="E30" s="68" t="n"/>
      <c r="F30" s="69" t="n"/>
    </row>
    <row r="31" ht="22.05" customHeight="1" s="42">
      <c r="A31" s="43" t="inlineStr">
        <is>
          <t>8. 动作与观察清单</t>
        </is>
      </c>
    </row>
    <row r="32" ht="32" customHeight="1" s="42">
      <c r="A32" s="41" t="inlineStr">
        <is>
          <t>仓位上限2.03%。假设组合权益100万美元，单票风险预算0.005，证伪跌幅0.2461。建议金额约20315美元，约655.3股。这是上限，不是现价买单。日均成交额150730543美元，流动性占用上限0.05，流动性金额大于风险预算金额，所以取风险预算这一侧。建仓区间：不高于29.29美元，且要约价仍是32.05美元、没有监管拒绝。证伪：协议终止，或要约价低于32.05美元。下次复盘看委托书、HSR和州医疗批准。10月7日美股尚未收盘，不用盘中价。</t>
        </is>
      </c>
      <c r="B32" s="65" t="n"/>
      <c r="C32" s="65" t="n"/>
      <c r="D32" s="65" t="n"/>
      <c r="E32" s="65" t="n"/>
      <c r="F32" s="66" t="n"/>
    </row>
    <row r="33" ht="32" customHeight="1" s="42">
      <c r="A33" s="67" t="n"/>
      <c r="B33" s="68" t="n"/>
      <c r="C33" s="68" t="n"/>
      <c r="D33" s="68" t="n"/>
      <c r="E33" s="68" t="n"/>
      <c r="F33" s="69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2026-10-07T19:13:08Z</dcterms:modified>
  <cp:lastModifiedBy>张哥</cp:lastModifiedBy>
</cp:coreProperties>
</file>