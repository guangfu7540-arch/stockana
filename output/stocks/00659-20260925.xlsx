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145" yWindow="2145" windowWidth="17280" windowHeight="9983" tabRatio="600" firstSheet="0" activeTab="1" autoFilterDateGrouping="1"/>
  </bookViews>
  <sheets>
    <sheet xmlns:r="http://schemas.openxmlformats.org/officeDocument/2006/relationships" name="使用说明" sheetId="1" state="visible" r:id="rId1"/>
    <sheet xmlns:r="http://schemas.openxmlformats.org/officeDocument/2006/relationships" name="封面" sheetId="2" state="visible" r:id="rId2"/>
    <sheet xmlns:r="http://schemas.openxmlformats.org/officeDocument/2006/relationships" name="初筛" sheetId="3" state="visible" r:id="rId3"/>
    <sheet xmlns:r="http://schemas.openxmlformats.org/officeDocument/2006/relationships" name="财务" sheetId="4" state="visible" r:id="rId4"/>
    <sheet xmlns:r="http://schemas.openxmlformats.org/officeDocument/2006/relationships" name="评分" sheetId="5" state="visible" r:id="rId5"/>
    <sheet xmlns:r="http://schemas.openxmlformats.org/officeDocument/2006/relationships" name="估值" sheetId="6" state="visible" r:id="rId6"/>
    <sheet xmlns:r="http://schemas.openxmlformats.org/officeDocument/2006/relationships" name="情绪" sheetId="7" state="visible" r:id="rId7"/>
    <sheet xmlns:r="http://schemas.openxmlformats.org/officeDocument/2006/relationships" name="风险" sheetId="8" state="visible" r:id="rId8"/>
    <sheet xmlns:r="http://schemas.openxmlformats.org/officeDocument/2006/relationships" name="备忘录" sheetId="9" state="visible" r:id="rId9"/>
    <sheet xmlns:r="http://schemas.openxmlformats.org/officeDocument/2006/relationships" name="工具" sheetId="10" state="visible" r:id="rId10"/>
  </sheets>
  <definedNames>
    <definedName name="Price">封面!$B$9</definedName>
    <definedName name="Ticker">封面!$B$5</definedName>
  </definedNames>
  <calcPr calcId="181029" fullCalcOnLoad="1"/>
</workbook>
</file>

<file path=xl/styles.xml><?xml version="1.0" encoding="utf-8"?>
<styleSheet xmlns="http://schemas.openxmlformats.org/spreadsheetml/2006/main">
  <numFmts count="7">
    <numFmt numFmtId="164" formatCode="#,##0.00;\(#,##0.00\);\-"/>
    <numFmt numFmtId="165" formatCode="0.0%"/>
    <numFmt numFmtId="166" formatCode="#,##0;\(#,##0\);\-"/>
    <numFmt numFmtId="167" formatCode="0.00\x"/>
    <numFmt numFmtId="168" formatCode="0.000"/>
    <numFmt numFmtId="169" formatCode="0.0"/>
    <numFmt numFmtId="170" formatCode="yyyy-mm-dd"/>
  </numFmts>
  <fonts count="12">
    <font>
      <name val="宋体"/>
      <family val="2"/>
      <color theme="1"/>
      <sz val="11"/>
      <scheme val="minor"/>
    </font>
    <font>
      <name val="Microsoft YaHei"/>
      <charset val="134"/>
      <family val="2"/>
      <b val="1"/>
      <color rgb="FFFFFFFF"/>
      <sz val="18"/>
    </font>
    <font>
      <name val="Microsoft YaHei"/>
      <charset val="134"/>
      <family val="2"/>
      <color rgb="FF666666"/>
      <sz val="9"/>
    </font>
    <font>
      <name val="Microsoft YaHei"/>
      <charset val="134"/>
      <family val="2"/>
      <b val="1"/>
      <color rgb="FFFFFFFF"/>
      <sz val="14"/>
    </font>
    <font>
      <name val="Microsoft YaHei"/>
      <charset val="134"/>
      <family val="2"/>
      <b val="1"/>
      <color rgb="FFFFFFFF"/>
      <sz val="10"/>
    </font>
    <font>
      <name val="Microsoft YaHei"/>
      <charset val="134"/>
      <family val="2"/>
      <b val="1"/>
      <color rgb="FF333333"/>
      <sz val="10"/>
    </font>
    <font>
      <name val="Microsoft YaHei"/>
      <charset val="134"/>
      <family val="2"/>
      <color rgb="FF333333"/>
      <sz val="10"/>
    </font>
    <font>
      <name val="Microsoft YaHei"/>
      <charset val="134"/>
      <family val="2"/>
      <color rgb="FF0000FF"/>
      <sz val="11"/>
    </font>
    <font>
      <name val="Microsoft YaHei"/>
      <charset val="134"/>
      <family val="2"/>
      <color rgb="FF008000"/>
      <sz val="11"/>
    </font>
    <font>
      <name val="Microsoft YaHei"/>
      <charset val="134"/>
      <family val="2"/>
      <b val="1"/>
      <color rgb="FF1F4E79"/>
      <sz val="12"/>
    </font>
    <font>
      <name val="Microsoft YaHei"/>
      <charset val="134"/>
      <family val="2"/>
      <color rgb="FF000000"/>
      <sz val="11"/>
    </font>
    <font>
      <name val="宋体"/>
      <charset val="134"/>
      <family val="3"/>
      <sz val="9"/>
      <scheme val="minor"/>
    </font>
  </fonts>
  <fills count="11">
    <fill>
      <patternFill/>
    </fill>
    <fill>
      <patternFill patternType="gray125"/>
    </fill>
    <fill>
      <patternFill patternType="solid">
        <fgColor rgb="FF1F4E79"/>
      </patternFill>
    </fill>
    <fill>
      <patternFill patternType="solid">
        <fgColor rgb="FFFCE4D6"/>
      </patternFill>
    </fill>
    <fill>
      <patternFill patternType="solid">
        <fgColor rgb="FF2E75B6"/>
      </patternFill>
    </fill>
    <fill>
      <patternFill patternType="solid">
        <fgColor rgb="FFD6E3F0"/>
      </patternFill>
    </fill>
    <fill>
      <patternFill patternType="solid">
        <fgColor rgb="FFFFFFFF"/>
      </patternFill>
    </fill>
    <fill>
      <patternFill patternType="solid">
        <fgColor rgb="FFF2F2F2"/>
      </patternFill>
    </fill>
    <fill>
      <patternFill patternType="solid">
        <fgColor rgb="FFFFF2CC"/>
      </patternFill>
    </fill>
    <fill>
      <patternFill patternType="solid">
        <fgColor rgb="FFE2EFDA"/>
      </patternFill>
    </fill>
    <fill>
      <patternFill patternType="solid">
        <fgColor rgb="FFF8CBAD"/>
      </patternFill>
    </fill>
  </fills>
  <borders count="11">
    <border>
      <left/>
      <right/>
      <top/>
      <bottom/>
      <diagonal/>
    </border>
    <border>
      <left style="thin">
        <color rgb="FFBDD7EE"/>
      </left>
      <right style="thin">
        <color rgb="FFBDD7EE"/>
      </right>
      <top style="thin">
        <color rgb="FFBDD7EE"/>
      </top>
      <bottom style="thin">
        <color rgb="FFBDD7EE"/>
      </bottom>
      <diagonal/>
    </border>
    <border>
      <left/>
      <right/>
      <top style="thin">
        <color rgb="FFBDD7EE"/>
      </top>
      <bottom style="thin">
        <color rgb="FFBDD7EE"/>
      </bottom>
      <diagonal/>
    </border>
    <border>
      <left/>
      <right style="thin">
        <color rgb="FFBDD7EE"/>
      </right>
      <top style="thin">
        <color rgb="FFBDD7EE"/>
      </top>
      <bottom style="thin">
        <color rgb="FFBDD7EE"/>
      </bottom>
      <diagonal/>
    </border>
    <border>
      <left/>
      <right/>
      <top style="thin">
        <color rgb="FFBDD7EE"/>
      </top>
      <bottom/>
      <diagonal/>
    </border>
    <border>
      <left/>
      <right style="thin">
        <color rgb="FFBDD7EE"/>
      </right>
      <top style="thin">
        <color rgb="FFBDD7EE"/>
      </top>
      <bottom/>
      <diagonal/>
    </border>
    <border>
      <left style="thin">
        <color rgb="FFBDD7EE"/>
      </left>
      <right/>
      <top/>
      <bottom/>
      <diagonal/>
    </border>
    <border>
      <left/>
      <right style="thin">
        <color rgb="FFBDD7EE"/>
      </right>
      <top/>
      <bottom/>
      <diagonal/>
    </border>
    <border>
      <left style="thin">
        <color rgb="FFBDD7EE"/>
      </left>
      <right/>
      <top/>
      <bottom style="thin">
        <color rgb="FFBDD7EE"/>
      </bottom>
      <diagonal/>
    </border>
    <border>
      <left/>
      <right/>
      <top/>
      <bottom style="thin">
        <color rgb="FFBDD7EE"/>
      </bottom>
      <diagonal/>
    </border>
    <border>
      <left/>
      <right style="thin">
        <color rgb="FFBDD7EE"/>
      </right>
      <top/>
      <bottom style="thin">
        <color rgb="FFBDD7EE"/>
      </bottom>
      <diagonal/>
    </border>
  </borders>
  <cellStyleXfs count="1">
    <xf numFmtId="0" fontId="0" fillId="0" borderId="0"/>
  </cellStyleXfs>
  <cellXfs count="84">
    <xf numFmtId="0" fontId="0" fillId="0" borderId="0" pivotButton="0" quotePrefix="0" xfId="0"/>
    <xf numFmtId="0" fontId="4" fillId="2"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left" vertical="center" wrapText="1"/>
    </xf>
    <xf numFmtId="0" fontId="6" fillId="6" borderId="1" applyAlignment="1" pivotButton="0" quotePrefix="0" xfId="0">
      <alignment horizontal="left" vertical="center" wrapText="1"/>
    </xf>
    <xf numFmtId="0" fontId="6" fillId="7" borderId="1" applyAlignment="1" pivotButton="0" quotePrefix="0" xfId="0">
      <alignment horizontal="left" vertical="center" wrapText="1"/>
    </xf>
    <xf numFmtId="0" fontId="6"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6" fillId="5" borderId="1" applyAlignment="1" pivotButton="0" quotePrefix="0" xfId="0">
      <alignment horizontal="center" vertical="center" wrapText="1"/>
    </xf>
    <xf numFmtId="0" fontId="5" fillId="7" borderId="1" applyAlignment="1" pivotButton="0" quotePrefix="0" xfId="0">
      <alignment horizontal="left" vertical="center" wrapText="1"/>
    </xf>
    <xf numFmtId="0" fontId="7" fillId="8" borderId="1" applyAlignment="1" pivotButton="0" quotePrefix="0" xfId="0">
      <alignment horizontal="center" vertical="center" wrapText="1"/>
    </xf>
    <xf numFmtId="0" fontId="2" fillId="5" borderId="1" applyAlignment="1" pivotButton="0" quotePrefix="0" xfId="0">
      <alignment horizontal="left" vertical="center" wrapText="1"/>
    </xf>
    <xf numFmtId="164" fontId="7" fillId="8" borderId="1" applyAlignment="1" pivotButton="0" quotePrefix="0" xfId="0">
      <alignment horizontal="center" vertical="center" wrapText="1"/>
    </xf>
    <xf numFmtId="0" fontId="7" fillId="8" borderId="1" applyAlignment="1" pivotButton="0" quotePrefix="0" xfId="0">
      <alignment horizontal="left" vertical="center" wrapText="1"/>
    </xf>
    <xf numFmtId="0" fontId="8" fillId="9" borderId="1" applyAlignment="1" pivotButton="0" quotePrefix="0" xfId="0">
      <alignment horizontal="center" vertical="center" wrapText="1"/>
    </xf>
    <xf numFmtId="1" fontId="8" fillId="9" borderId="1" applyAlignment="1" pivotButton="0" quotePrefix="0" xfId="0">
      <alignment horizontal="center" vertical="center" wrapText="1"/>
    </xf>
    <xf numFmtId="2" fontId="8" fillId="9" borderId="1" applyAlignment="1" pivotButton="0" quotePrefix="0" xfId="0">
      <alignment horizontal="center" vertical="center" wrapText="1"/>
    </xf>
    <xf numFmtId="164" fontId="8" fillId="9" borderId="1" applyAlignment="1" pivotButton="0" quotePrefix="0" xfId="0">
      <alignment horizontal="center" vertical="center" wrapText="1"/>
    </xf>
    <xf numFmtId="165" fontId="8" fillId="9" borderId="1" applyAlignment="1" pivotButton="0" quotePrefix="0" xfId="0">
      <alignment horizontal="center" vertical="center" wrapText="1"/>
    </xf>
    <xf numFmtId="166" fontId="8" fillId="9" borderId="1" applyAlignment="1" pivotButton="0" quotePrefix="0" xfId="0">
      <alignment horizontal="center" vertical="center" wrapText="1"/>
    </xf>
    <xf numFmtId="0" fontId="9" fillId="6" borderId="1" applyAlignment="1" pivotButton="0" quotePrefix="0" xfId="0">
      <alignment horizontal="left" vertical="center" wrapText="1"/>
    </xf>
    <xf numFmtId="0" fontId="2" fillId="9" borderId="1" applyAlignment="1" pivotButton="0" quotePrefix="0" xfId="0">
      <alignment horizontal="left" vertical="center" wrapText="1"/>
    </xf>
    <xf numFmtId="0" fontId="2" fillId="10" borderId="1" applyAlignment="1" pivotButton="0" quotePrefix="0" xfId="0">
      <alignment horizontal="left" vertical="center" wrapText="1"/>
    </xf>
    <xf numFmtId="1" fontId="10" fillId="9" borderId="1" applyAlignment="1" pivotButton="0" quotePrefix="0" xfId="0">
      <alignment horizontal="center" vertical="center" wrapText="1"/>
    </xf>
    <xf numFmtId="0" fontId="10" fillId="9" borderId="1" applyAlignment="1" pivotButton="0" quotePrefix="0" xfId="0">
      <alignment horizontal="center" vertical="center" wrapText="1"/>
    </xf>
    <xf numFmtId="49" fontId="7" fillId="8" borderId="1" applyAlignment="1" pivotButton="0" quotePrefix="0" xfId="0">
      <alignment horizontal="center" vertical="center" wrapText="1"/>
    </xf>
    <xf numFmtId="0" fontId="2" fillId="5" borderId="1" applyAlignment="1" pivotButton="0" quotePrefix="0" xfId="0">
      <alignment horizontal="center" vertical="center" wrapText="1"/>
    </xf>
    <xf numFmtId="165" fontId="10" fillId="9" borderId="1" applyAlignment="1" pivotButton="0" quotePrefix="0" xfId="0">
      <alignment horizontal="center" vertical="center" wrapText="1"/>
    </xf>
    <xf numFmtId="49" fontId="7" fillId="8" borderId="1" applyAlignment="1" pivotButton="0" quotePrefix="0" xfId="0">
      <alignment horizontal="left" vertical="center" wrapText="1"/>
    </xf>
    <xf numFmtId="165" fontId="7" fillId="8" borderId="1" applyAlignment="1" pivotButton="0" quotePrefix="0" xfId="0">
      <alignment horizontal="center" vertical="center" wrapText="1"/>
    </xf>
    <xf numFmtId="167" fontId="10" fillId="9" borderId="1" applyAlignment="1" pivotButton="0" quotePrefix="0" xfId="0">
      <alignment horizontal="center" vertical="center" wrapText="1"/>
    </xf>
    <xf numFmtId="164" fontId="10" fillId="9" borderId="1" applyAlignment="1" pivotButton="0" quotePrefix="0" xfId="0">
      <alignment horizontal="center" vertical="center" wrapText="1"/>
    </xf>
    <xf numFmtId="2" fontId="10" fillId="9" borderId="1" applyAlignment="1" pivotButton="0" quotePrefix="0" xfId="0">
      <alignment horizontal="center" vertical="center" wrapText="1"/>
    </xf>
    <xf numFmtId="168" fontId="10" fillId="9" borderId="1" applyAlignment="1" pivotButton="0" quotePrefix="0" xfId="0">
      <alignment horizontal="center" vertical="center" wrapText="1"/>
    </xf>
    <xf numFmtId="0" fontId="2" fillId="7" borderId="1" applyAlignment="1" pivotButton="0" quotePrefix="0" xfId="0">
      <alignment horizontal="left" vertical="center" wrapText="1"/>
    </xf>
    <xf numFmtId="2" fontId="7" fillId="8" borderId="1" applyAlignment="1" pivotButton="0" quotePrefix="0" xfId="0">
      <alignment horizontal="center" vertical="center" wrapText="1"/>
    </xf>
    <xf numFmtId="0" fontId="5" fillId="7" borderId="1" applyAlignment="1" pivotButton="0" quotePrefix="0" xfId="0">
      <alignment horizontal="center" vertical="center" wrapText="1"/>
    </xf>
    <xf numFmtId="169" fontId="7" fillId="8" borderId="1" applyAlignment="1" pivotButton="0" quotePrefix="0" xfId="0">
      <alignment horizontal="center" vertical="center" wrapText="1"/>
    </xf>
    <xf numFmtId="166" fontId="7" fillId="8" borderId="1" applyAlignment="1" pivotButton="0" quotePrefix="0" xfId="0">
      <alignment horizontal="center" vertical="center" wrapText="1"/>
    </xf>
    <xf numFmtId="10" fontId="7" fillId="8" borderId="1" applyAlignment="1" pivotButton="0" quotePrefix="0" xfId="0">
      <alignment horizontal="center" vertical="center" wrapText="1"/>
    </xf>
    <xf numFmtId="166" fontId="10" fillId="9" borderId="1" applyAlignment="1" pivotButton="0" quotePrefix="0" xfId="0">
      <alignment horizontal="center" vertical="center" wrapText="1"/>
    </xf>
    <xf numFmtId="0" fontId="7" fillId="8" borderId="1" applyAlignment="1" pivotButton="0" quotePrefix="0" xfId="0">
      <alignment horizontal="left" vertical="center" wrapText="1"/>
    </xf>
    <xf numFmtId="0" fontId="0" fillId="0" borderId="0" pivotButton="0" quotePrefix="0" xfId="0"/>
    <xf numFmtId="0" fontId="3" fillId="4" borderId="0" applyAlignment="1" pivotButton="0" quotePrefix="0" xfId="0">
      <alignment vertical="center" indent="1"/>
    </xf>
    <xf numFmtId="0" fontId="0" fillId="4" borderId="0" pivotButton="0" quotePrefix="0" xfId="0"/>
    <xf numFmtId="0" fontId="2" fillId="5" borderId="1" applyAlignment="1" pivotButton="0" quotePrefix="0" xfId="0">
      <alignment horizontal="left" vertical="center" wrapText="1"/>
    </xf>
    <xf numFmtId="0" fontId="0" fillId="0" borderId="2" pivotButton="0" quotePrefix="0" xfId="0"/>
    <xf numFmtId="0" fontId="0" fillId="0" borderId="3" pivotButton="0" quotePrefix="0" xfId="0"/>
    <xf numFmtId="0" fontId="7" fillId="8" borderId="1" applyAlignment="1" pivotButton="0" quotePrefix="0" xfId="0">
      <alignment horizontal="center" vertical="center" wrapText="1"/>
    </xf>
    <xf numFmtId="0" fontId="2" fillId="5" borderId="0" applyAlignment="1" pivotButton="0" quotePrefix="0" xfId="0">
      <alignment horizontal="left" vertical="center" wrapText="1"/>
    </xf>
    <xf numFmtId="0" fontId="0" fillId="5" borderId="0" applyAlignment="1" pivotButton="0" quotePrefix="0" xfId="0">
      <alignment horizontal="left" vertical="center" wrapText="1"/>
    </xf>
    <xf numFmtId="0" fontId="4" fillId="2" borderId="1" applyAlignment="1" pivotButton="0" quotePrefix="0" xfId="0">
      <alignment horizontal="center" vertical="center" wrapText="1"/>
    </xf>
    <xf numFmtId="164" fontId="7" fillId="8" borderId="1" applyAlignment="1" pivotButton="0" quotePrefix="0" xfId="0">
      <alignment horizontal="center" vertical="center" wrapText="1"/>
    </xf>
    <xf numFmtId="0" fontId="1" fillId="2" borderId="1" applyAlignment="1" pivotButton="0" quotePrefix="0" xfId="0">
      <alignment horizontal="left" vertical="center" indent="1"/>
    </xf>
    <xf numFmtId="0" fontId="0" fillId="2" borderId="1" pivotButton="0" quotePrefix="0" xfId="0"/>
    <xf numFmtId="0" fontId="6" fillId="6" borderId="1" applyAlignment="1" pivotButton="0" quotePrefix="0" xfId="0">
      <alignment horizontal="left" vertical="center" wrapText="1"/>
    </xf>
    <xf numFmtId="0" fontId="2" fillId="3" borderId="0" applyAlignment="1" pivotButton="0" quotePrefix="0" xfId="0">
      <alignment horizontal="left" vertical="center" wrapText="1"/>
    </xf>
    <xf numFmtId="0" fontId="0" fillId="3" borderId="0" applyAlignment="1" pivotButton="0" quotePrefix="0" xfId="0">
      <alignment horizontal="left" vertical="center" wrapText="1"/>
    </xf>
    <xf numFmtId="0" fontId="8" fillId="9" borderId="1" applyAlignment="1" pivotButton="0" quotePrefix="0" xfId="0">
      <alignment horizontal="center" vertical="center" wrapText="1"/>
    </xf>
    <xf numFmtId="0" fontId="0" fillId="8" borderId="1" pivotButton="0" quotePrefix="0" xfId="0"/>
    <xf numFmtId="0" fontId="2" fillId="10" borderId="1" applyAlignment="1" pivotButton="0" quotePrefix="0" xfId="0">
      <alignment horizontal="left" vertical="center" wrapText="1"/>
    </xf>
    <xf numFmtId="0" fontId="0" fillId="8" borderId="1" applyAlignment="1" pivotButton="0" quotePrefix="0" xfId="0">
      <alignment horizontal="left" vertical="center" wrapText="1"/>
    </xf>
    <xf numFmtId="0" fontId="6" fillId="7" borderId="1" applyAlignment="1" pivotButton="0" quotePrefix="0" xfId="0">
      <alignment horizontal="left" vertical="center" wrapText="1"/>
    </xf>
    <xf numFmtId="170" fontId="7" fillId="8" borderId="1" applyAlignment="1" pivotButton="0" quotePrefix="0" xfId="0">
      <alignment horizontal="center" vertical="center" wrapText="1"/>
    </xf>
    <xf numFmtId="164" fontId="7" fillId="8" borderId="1" applyAlignment="1" pivotButton="0" quotePrefix="0" xfId="0">
      <alignment horizontal="center" vertical="center" wrapText="1"/>
    </xf>
    <xf numFmtId="0" fontId="7" fillId="8" borderId="1" applyAlignment="1" pivotButton="0" quotePrefix="0" xfId="0">
      <alignment vertical="top" wrapText="1"/>
    </xf>
    <xf numFmtId="0" fontId="0" fillId="0" borderId="4" pivotButton="0" quotePrefix="0" xfId="0"/>
    <xf numFmtId="0" fontId="0" fillId="0" borderId="5" pivotButton="0" quotePrefix="0" xfId="0"/>
    <xf numFmtId="0" fontId="0" fillId="0" borderId="8" pivotButton="0" quotePrefix="0" xfId="0"/>
    <xf numFmtId="0" fontId="0" fillId="0" borderId="9" pivotButton="0" quotePrefix="0" xfId="0"/>
    <xf numFmtId="0" fontId="0" fillId="0" borderId="10" pivotButton="0" quotePrefix="0" xfId="0"/>
    <xf numFmtId="164" fontId="8" fillId="9" borderId="1" applyAlignment="1" pivotButton="0" quotePrefix="0" xfId="0">
      <alignment horizontal="center" vertical="center" wrapText="1"/>
    </xf>
    <xf numFmtId="165" fontId="8" fillId="9" borderId="1" applyAlignment="1" pivotButton="0" quotePrefix="0" xfId="0">
      <alignment horizontal="center" vertical="center" wrapText="1"/>
    </xf>
    <xf numFmtId="166" fontId="8" fillId="9" borderId="1" applyAlignment="1" pivotButton="0" quotePrefix="0" xfId="0">
      <alignment horizontal="center" vertical="center" wrapText="1"/>
    </xf>
    <xf numFmtId="0" fontId="0" fillId="0" borderId="6" pivotButton="0" quotePrefix="0" xfId="0"/>
    <xf numFmtId="0" fontId="0" fillId="0" borderId="7" pivotButton="0" quotePrefix="0" xfId="0"/>
    <xf numFmtId="165" fontId="10" fillId="9" borderId="1" applyAlignment="1" pivotButton="0" quotePrefix="0" xfId="0">
      <alignment horizontal="center" vertical="center" wrapText="1"/>
    </xf>
    <xf numFmtId="165" fontId="7" fillId="8" borderId="1" applyAlignment="1" pivotButton="0" quotePrefix="0" xfId="0">
      <alignment horizontal="center" vertical="center" wrapText="1"/>
    </xf>
    <xf numFmtId="167" fontId="10" fillId="9" borderId="1" applyAlignment="1" pivotButton="0" quotePrefix="0" xfId="0">
      <alignment horizontal="center" vertical="center" wrapText="1"/>
    </xf>
    <xf numFmtId="164" fontId="10" fillId="9" borderId="1" applyAlignment="1" pivotButton="0" quotePrefix="0" xfId="0">
      <alignment horizontal="center" vertical="center" wrapText="1"/>
    </xf>
    <xf numFmtId="168" fontId="10" fillId="9" borderId="1" applyAlignment="1" pivotButton="0" quotePrefix="0" xfId="0">
      <alignment horizontal="center" vertical="center" wrapText="1"/>
    </xf>
    <xf numFmtId="169" fontId="7" fillId="8" borderId="1" applyAlignment="1" pivotButton="0" quotePrefix="0" xfId="0">
      <alignment horizontal="center" vertical="center" wrapText="1"/>
    </xf>
    <xf numFmtId="166" fontId="7" fillId="8" borderId="1" applyAlignment="1" pivotButton="0" quotePrefix="0" xfId="0">
      <alignment horizontal="center" vertical="center" wrapText="1"/>
    </xf>
    <xf numFmtId="166" fontId="10" fillId="9" borderId="1" applyAlignment="1" pivotButton="0" quotePrefix="0" xfId="0">
      <alignment horizontal="center" vertical="center"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模板</author>
  </authors>
  <commentList>
    <comment ref="B5" authorId="0" shapeId="0">
      <text>
        <t>港股带后缀，如 0992.HK；A 股 6 位代码；美股代码。</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808080"/>
    <outlinePr summaryBelow="1" summaryRight="1"/>
    <pageSetUpPr fitToPage="1"/>
  </sheetPr>
  <dimension ref="A1:F28"/>
  <sheetViews>
    <sheetView showGridLines="0" workbookViewId="0">
      <pane ySplit="1" topLeftCell="A2" activePane="bottomLeft" state="frozen"/>
      <selection pane="bottomLeft" activeCell="A1" sqref="A1"/>
    </sheetView>
  </sheetViews>
  <sheetFormatPr baseColWidth="8" defaultRowHeight="13.5"/>
  <cols>
    <col width="18" customWidth="1" style="42" min="1" max="1"/>
    <col width="28" customWidth="1" style="42" min="2" max="2"/>
    <col width="36" customWidth="1" style="42" min="3" max="4"/>
    <col width="28" customWidth="1" style="42" min="5" max="5"/>
    <col width="22" customWidth="1" style="42" min="6" max="6"/>
  </cols>
  <sheetData>
    <row r="1" ht="28.05" customHeight="1" s="42">
      <c r="A1" s="53" t="inlineStr">
        <is>
          <t>个股分析工具箱  ·  固定模板（Windows 可直接打开）</t>
        </is>
      </c>
      <c r="B1" s="46" t="n"/>
      <c r="C1" s="46" t="n"/>
      <c r="D1" s="46" t="n"/>
      <c r="E1" s="46" t="n"/>
      <c r="F1" s="47" t="n"/>
    </row>
    <row r="2" ht="36" customHeight="1" s="42">
      <c r="A2" s="56" t="inlineStr">
        <is>
          <t>用法：复制本文件并改名为「代码-日期.xlsx」，只改黄色格子（蓝字）。黑字/绿底是公式，绿字引用其他表。不要在母版上填数。打开后若公式显示 0，按 F9 或启用编辑。仅供研究，不构成投资建议。</t>
        </is>
      </c>
    </row>
    <row r="4" ht="22.05" customHeight="1" s="42">
      <c r="A4" s="43" t="inlineStr">
        <is>
          <t>每次怎么用（不用安装、不用联网配置）</t>
        </is>
      </c>
    </row>
    <row r="5" ht="22.05" customHeight="1" s="42">
      <c r="A5" s="51" t="inlineStr">
        <is>
          <t>步</t>
        </is>
      </c>
      <c r="B5" s="51" t="inlineStr">
        <is>
          <t>动作</t>
        </is>
      </c>
      <c r="C5" s="51" t="inlineStr">
        <is>
          <t>说明</t>
        </is>
      </c>
      <c r="D5" s="46" t="n"/>
      <c r="E5" s="46" t="n"/>
      <c r="F5" s="47" t="n"/>
    </row>
    <row r="6" ht="40.05" customHeight="1" s="42">
      <c r="A6" s="2" t="inlineStr">
        <is>
          <t>1</t>
        </is>
      </c>
      <c r="B6" s="3" t="inlineStr">
        <is>
          <t>复制本文件</t>
        </is>
      </c>
      <c r="C6" s="55" t="inlineStr">
        <is>
          <t>在 Windows 上用 Excel 或 WPS 打开。每分析一只股票，先复制一份，改成例如 0992.HK-20260826.xlsx。</t>
        </is>
      </c>
      <c r="D6" s="46" t="n"/>
      <c r="E6" s="46" t="n"/>
      <c r="F6" s="47" t="n"/>
    </row>
    <row r="7" ht="40.05" customHeight="1" s="42">
      <c r="A7" s="2" t="inlineStr">
        <is>
          <t>2</t>
        </is>
      </c>
      <c r="B7" s="3" t="inlineStr">
        <is>
          <t>只填封面</t>
        </is>
      </c>
      <c r="C7" s="55" t="inlineStr">
        <is>
          <t>在「封面」填代码、市场、现价、一句话论点。其余表会自动带上代码。</t>
        </is>
      </c>
      <c r="D7" s="46" t="n"/>
      <c r="E7" s="46" t="n"/>
      <c r="F7" s="47" t="n"/>
    </row>
    <row r="8" ht="40.05" customHeight="1" s="42">
      <c r="A8" s="2" t="inlineStr">
        <is>
          <t>3</t>
        </is>
      </c>
      <c r="B8" s="3" t="inlineStr">
        <is>
          <t>按顺序往右填</t>
        </is>
      </c>
      <c r="C8" s="55" t="inlineStr">
        <is>
          <t>初筛 → 财务 → 评分 → 估值 → 情绪 → 风险 → 备忘录。初筛不过关就停，不要建模型。</t>
        </is>
      </c>
      <c r="D8" s="46" t="n"/>
      <c r="E8" s="46" t="n"/>
      <c r="F8" s="47" t="n"/>
    </row>
    <row r="9" ht="40.05" customHeight="1" s="42">
      <c r="A9" s="2" t="inlineStr">
        <is>
          <t>4</t>
        </is>
      </c>
      <c r="B9" s="3" t="inlineStr">
        <is>
          <t>看封面结论</t>
        </is>
      </c>
      <c r="C9" s="55" t="inlineStr">
        <is>
          <t>封面会汇总：初筛闸门、F/Z/M 分数、估值区间、建议仓位。备忘录用于写成文。</t>
        </is>
      </c>
      <c r="D9" s="46" t="n"/>
      <c r="E9" s="46" t="n"/>
      <c r="F9" s="47" t="n"/>
    </row>
    <row r="11" ht="22.05" customHeight="1" s="42">
      <c r="A11" s="43" t="inlineStr">
        <is>
          <t>四层分析顺序（不要打乱）</t>
        </is>
      </c>
    </row>
    <row r="12" ht="22.05" customHeight="1" s="42">
      <c r="A12" s="51" t="inlineStr">
        <is>
          <t>层</t>
        </is>
      </c>
      <c r="B12" s="51" t="inlineStr">
        <is>
          <t>要回答的问题</t>
        </is>
      </c>
      <c r="C12" s="51" t="inlineStr">
        <is>
          <t>产出</t>
        </is>
      </c>
      <c r="D12" s="51" t="inlineStr">
        <is>
          <t>停手条件</t>
        </is>
      </c>
      <c r="E12" s="51" t="inlineStr">
        <is>
          <t>大约耗时</t>
        </is>
      </c>
      <c r="F12" s="51" t="inlineStr">
        <is>
          <t>对应工作表</t>
        </is>
      </c>
    </row>
    <row r="13" ht="42" customHeight="1" s="42">
      <c r="A13" s="55" t="inlineStr">
        <is>
          <t>1 初筛</t>
        </is>
      </c>
      <c r="B13" s="55" t="inlineStr">
        <is>
          <t>这家公司靠什么赚钱？两句话能否说清？</t>
        </is>
      </c>
      <c r="C13" s="55" t="inlineStr">
        <is>
          <t>通过 / 排除 / 待完成</t>
        </is>
      </c>
      <c r="D13" s="55" t="inlineStr">
        <is>
          <t>说不清模式，或经营现金流连续为负</t>
        </is>
      </c>
      <c r="E13" s="55" t="inlineStr">
        <is>
          <t>15 分钟</t>
        </is>
      </c>
      <c r="F13" s="55" t="inlineStr">
        <is>
          <t>初筛</t>
        </is>
      </c>
    </row>
    <row r="14" ht="42" customHeight="1" s="42">
      <c r="A14" s="62" t="inlineStr">
        <is>
          <t>2 基本面</t>
        </is>
      </c>
      <c r="B14" s="62" t="inlineStr">
        <is>
          <t>增长有没有现金？护城河有没有回报率？</t>
        </is>
      </c>
      <c r="C14" s="62" t="inlineStr">
        <is>
          <t>质量评级 + 估值区间</t>
        </is>
      </c>
      <c r="D14" s="62" t="inlineStr">
        <is>
          <t>关键数字对不上年报</t>
        </is>
      </c>
      <c r="E14" s="62" t="inlineStr">
        <is>
          <t>1–2 小时</t>
        </is>
      </c>
      <c r="F14" s="62" t="inlineStr">
        <is>
          <t>财务 / 评分 / 估值</t>
        </is>
      </c>
    </row>
    <row r="15" ht="42" customHeight="1" s="42">
      <c r="A15" s="55" t="inlineStr">
        <is>
          <t>3 情绪</t>
        </is>
      </c>
      <c r="B15" s="55" t="inlineStr">
        <is>
          <t>现价已经定价了什么？拥挤还是冷清？</t>
        </is>
      </c>
      <c r="C15" s="55" t="inlineStr">
        <is>
          <t>预期差方向</t>
        </is>
      </c>
      <c r="D15" s="55" t="inlineStr">
        <is>
          <t>只有热度没有分歧点</t>
        </is>
      </c>
      <c r="E15" s="55" t="inlineStr">
        <is>
          <t>30–60 分钟</t>
        </is>
      </c>
      <c r="F15" s="55" t="inlineStr">
        <is>
          <t>情绪</t>
        </is>
      </c>
    </row>
    <row r="16" ht="42" customHeight="1" s="42">
      <c r="A16" s="62" t="inlineStr">
        <is>
          <t>4 风险</t>
        </is>
      </c>
      <c r="B16" s="62" t="inlineStr">
        <is>
          <t>什么信号出现就认错？亏多少能睡得着？</t>
        </is>
      </c>
      <c r="C16" s="62" t="inlineStr">
        <is>
          <t>证伪条件 + 仓位上限</t>
        </is>
      </c>
      <c r="D16" s="62" t="inlineStr">
        <is>
          <t>找不到可观察的证伪条件</t>
        </is>
      </c>
      <c r="E16" s="62" t="inlineStr">
        <is>
          <t>20–40 分钟</t>
        </is>
      </c>
      <c r="F16" s="62" t="inlineStr">
        <is>
          <t>风险 / 备忘录</t>
        </is>
      </c>
    </row>
    <row r="18" ht="22.05" customHeight="1" s="42">
      <c r="A18" s="43" t="inlineStr">
        <is>
          <t>格子颜色</t>
        </is>
      </c>
    </row>
    <row r="19" ht="22.05" customHeight="1" s="42">
      <c r="A19" s="51" t="inlineStr">
        <is>
          <t>颜色</t>
        </is>
      </c>
      <c r="B19" s="51" t="inlineStr">
        <is>
          <t>含义</t>
        </is>
      </c>
      <c r="C19" s="51" t="inlineStr">
        <is>
          <t>你要做什么</t>
        </is>
      </c>
      <c r="D19" s="46" t="n"/>
      <c r="E19" s="46" t="n"/>
      <c r="F19" s="47" t="n"/>
    </row>
    <row r="20" ht="14.65" customHeight="1" s="42">
      <c r="A20" s="6" t="n"/>
      <c r="B20" s="3" t="inlineStr">
        <is>
          <t>黄底蓝字</t>
        </is>
      </c>
      <c r="C20" s="55" t="inlineStr">
        <is>
          <t>输入：价格、财务数字、是/否、情景假设、文字判断</t>
        </is>
      </c>
      <c r="D20" s="46" t="n"/>
      <c r="E20" s="46" t="n"/>
      <c r="F20" s="47" t="n"/>
    </row>
    <row r="21" ht="14.65" customHeight="1" s="42">
      <c r="A21" s="7" t="n"/>
      <c r="B21" s="3" t="inlineStr">
        <is>
          <t>绿底黑/绿字</t>
        </is>
      </c>
      <c r="C21" s="55" t="inlineStr">
        <is>
          <t>公式或跨表引用：不要改。改输入后这里会变。</t>
        </is>
      </c>
      <c r="D21" s="46" t="n"/>
      <c r="E21" s="46" t="n"/>
      <c r="F21" s="47" t="n"/>
    </row>
    <row r="22" ht="14.65" customHeight="1" s="42">
      <c r="A22" s="8" t="n"/>
      <c r="B22" s="3" t="inlineStr">
        <is>
          <t>浅蓝底</t>
        </is>
      </c>
      <c r="C22" s="55" t="inlineStr">
        <is>
          <t>说明和提示，不用填。</t>
        </is>
      </c>
      <c r="D22" s="46" t="n"/>
      <c r="E22" s="46" t="n"/>
      <c r="F22" s="47" t="n"/>
    </row>
    <row r="24" ht="22.05" customHeight="1" s="42">
      <c r="A24" s="43" t="inlineStr">
        <is>
          <t>原则</t>
        </is>
      </c>
    </row>
    <row r="25" ht="32" customHeight="1" s="42">
      <c r="A25" s="55" t="inlineStr">
        <is>
          <t>· 先质量、再估值、再读预期差、最后用风险定仓位。不要把基本面、情绪、技术面合成一个分数。</t>
        </is>
      </c>
      <c r="B25" s="46" t="n"/>
      <c r="C25" s="46" t="n"/>
      <c r="D25" s="46" t="n"/>
      <c r="E25" s="46" t="n"/>
      <c r="F25" s="47" t="n"/>
    </row>
    <row r="26" ht="32" customHeight="1" s="42">
      <c r="A26" s="55" t="inlineStr">
        <is>
          <t>· 事实带来源（年报页码、交易所公告、数据商），判断写假设。结论必须可证伪。</t>
        </is>
      </c>
      <c r="B26" s="46" t="n"/>
      <c r="C26" s="46" t="n"/>
      <c r="D26" s="46" t="n"/>
      <c r="E26" s="46" t="n"/>
      <c r="F26" s="47" t="n"/>
    </row>
    <row r="27" ht="32" customHeight="1" s="42">
      <c r="A27" s="55" t="inlineStr">
        <is>
          <t>· 估值给 Bull / Base / Bear 区间，不给神预测。情绪只修正时机和仓位，不单独产生买点。</t>
        </is>
      </c>
      <c r="B27" s="46" t="n"/>
      <c r="C27" s="46" t="n"/>
      <c r="D27" s="46" t="n"/>
      <c r="E27" s="46" t="n"/>
      <c r="F27" s="47" t="n"/>
    </row>
    <row r="28" ht="32" customHeight="1" s="42">
      <c r="A28" s="55" t="inlineStr">
        <is>
          <t>· 仓位由波动和流动性决定，不由信念强度决定。初筛排除的票，后面表可以不填。</t>
        </is>
      </c>
      <c r="B28" s="46" t="n"/>
      <c r="C28" s="46" t="n"/>
      <c r="D28" s="46" t="n"/>
      <c r="E28" s="46" t="n"/>
      <c r="F28" s="47" t="n"/>
    </row>
  </sheetData>
  <mergeCells count="19">
    <mergeCell ref="C8:F8"/>
    <mergeCell ref="A27:F27"/>
    <mergeCell ref="C7:F7"/>
    <mergeCell ref="A18:F18"/>
    <mergeCell ref="A26:F26"/>
    <mergeCell ref="C19:F19"/>
    <mergeCell ref="A2:F2"/>
    <mergeCell ref="C6:F6"/>
    <mergeCell ref="A4:F4"/>
    <mergeCell ref="C5:F5"/>
    <mergeCell ref="A28:F28"/>
    <mergeCell ref="C20:F20"/>
    <mergeCell ref="C22:F22"/>
    <mergeCell ref="A24:F24"/>
    <mergeCell ref="C9:F9"/>
    <mergeCell ref="A11:F11"/>
    <mergeCell ref="A1:F1"/>
    <mergeCell ref="C21:F21"/>
    <mergeCell ref="A25:F25"/>
  </mergeCells>
  <printOptions horizontalCentered="1"/>
  <pageMargins left="0.5" right="0.5" top="0.6" bottom="0.6" header="0.5" footer="0.5"/>
  <pageSetup orientation="portrait" paperSize="9" fitToHeight="0"/>
</worksheet>
</file>

<file path=xl/worksheets/sheet2.xml><?xml version="1.0" encoding="utf-8"?>
<worksheet xmlns="http://schemas.openxmlformats.org/spreadsheetml/2006/main">
  <sheetPr>
    <tabColor rgb="FF1F4E79"/>
    <outlinePr summaryBelow="1" summaryRight="1"/>
    <pageSetUpPr fitToPage="1"/>
  </sheetPr>
  <dimension ref="A1:F37"/>
  <sheetViews>
    <sheetView showGridLines="0" tabSelected="1" workbookViewId="0">
      <pane ySplit="1" topLeftCell="A2" activePane="bottomLeft" state="frozen"/>
      <selection pane="bottomLeft" activeCell="A1" sqref="A1:F1"/>
    </sheetView>
  </sheetViews>
  <sheetFormatPr baseColWidth="8" defaultRowHeight="13.5"/>
  <cols>
    <col width="20" customWidth="1" style="42" min="1" max="1"/>
    <col width="16" customWidth="1" style="42" min="2" max="2"/>
    <col width="28" customWidth="1" style="42" min="3" max="3"/>
    <col width="16" customWidth="1" style="42" min="4" max="4"/>
    <col width="22" customWidth="1" style="42" min="5" max="5"/>
    <col width="28" customWidth="1" style="42" min="6" max="6"/>
  </cols>
  <sheetData>
    <row r="1" ht="28.05" customHeight="1" s="42">
      <c r="A1" s="53" t="inlineStr">
        <is>
          <t>封面结论  ·  每只股票从这里开始</t>
        </is>
      </c>
      <c r="B1" s="46" t="n"/>
      <c r="C1" s="46" t="n"/>
      <c r="D1" s="46" t="n"/>
      <c r="E1" s="46" t="n"/>
      <c r="F1" s="47" t="n"/>
    </row>
    <row r="2" ht="36" customHeight="1" s="42">
      <c r="A2" s="49" t="inlineStr">
        <is>
          <t>黄色格子必填。下面「自动汇总」会从其他表取数，请先填初筛/评分/估值/风险。决策三分法允许三者不一致。</t>
        </is>
      </c>
    </row>
    <row r="4" ht="22.05" customHeight="1" s="42">
      <c r="A4" s="43" t="inlineStr">
        <is>
          <t>标的</t>
        </is>
      </c>
    </row>
    <row r="5" ht="22.05" customHeight="1" s="42">
      <c r="A5" s="9" t="inlineStr">
        <is>
          <t>股票代码</t>
        </is>
      </c>
      <c r="B5" s="48" t="inlineStr">
        <is>
          <t>00659</t>
        </is>
      </c>
      <c r="C5" s="47" t="n"/>
      <c r="D5" s="45" t="inlineStr">
        <is>
          <t>例如 0992.HK / 600519 / NVDA</t>
        </is>
      </c>
      <c r="E5" s="46" t="n"/>
      <c r="F5" s="47" t="n"/>
    </row>
    <row r="6" ht="22.05" customHeight="1" s="42">
      <c r="A6" s="9" t="inlineStr">
        <is>
          <t>公司名称</t>
        </is>
      </c>
      <c r="B6" s="48" t="inlineStr">
        <is>
          <t>周大福创建</t>
        </is>
      </c>
      <c r="C6" s="47" t="n"/>
      <c r="D6" s="45" t="n"/>
      <c r="E6" s="46" t="n"/>
      <c r="F6" s="47" t="n"/>
    </row>
    <row r="7" ht="22.05" customHeight="1" s="42">
      <c r="A7" s="9" t="inlineStr">
        <is>
          <t>市场</t>
        </is>
      </c>
      <c r="B7" s="48" t="inlineStr">
        <is>
          <t>港股</t>
        </is>
      </c>
      <c r="C7" s="47" t="n"/>
      <c r="D7" s="45" t="inlineStr">
        <is>
          <t>A股 / 港股 / 美股</t>
        </is>
      </c>
      <c r="E7" s="46" t="n"/>
      <c r="F7" s="47" t="n"/>
    </row>
    <row r="8" ht="22.05" customHeight="1" s="42">
      <c r="A8" s="9" t="inlineStr">
        <is>
          <t>分析日期</t>
        </is>
      </c>
      <c r="B8" s="63" t="n">
        <v>46290</v>
      </c>
      <c r="C8" s="47" t="n"/>
      <c r="D8" s="45" t="inlineStr">
        <is>
          <t>YYYY-MM-DD</t>
        </is>
      </c>
      <c r="E8" s="46" t="n"/>
      <c r="F8" s="47" t="n"/>
    </row>
    <row r="9" ht="22.05" customHeight="1" s="42">
      <c r="A9" s="9" t="inlineStr">
        <is>
          <t>现价</t>
        </is>
      </c>
      <c r="B9" s="64" t="n">
        <v>8.4</v>
      </c>
      <c r="C9" s="47" t="n"/>
      <c r="D9" s="45" t="inlineStr">
        <is>
          <t>用交易货币</t>
        </is>
      </c>
      <c r="E9" s="46" t="n"/>
      <c r="F9" s="47" t="n"/>
    </row>
    <row r="10" ht="22.05" customHeight="1" s="42">
      <c r="A10" s="9" t="inlineStr">
        <is>
          <t>货币</t>
        </is>
      </c>
      <c r="B10" s="48" t="inlineStr">
        <is>
          <t>HKD</t>
        </is>
      </c>
      <c r="C10" s="47" t="n"/>
      <c r="D10" s="45" t="inlineStr">
        <is>
          <t>CNY / HKD / USD</t>
        </is>
      </c>
      <c r="E10" s="46" t="n"/>
      <c r="F10" s="47" t="n"/>
    </row>
    <row r="11" ht="22.05" customHeight="1" s="42">
      <c r="A11" s="9" t="inlineStr">
        <is>
          <t>行业</t>
        </is>
      </c>
      <c r="B11" s="48" t="inlineStr">
        <is>
          <t>收费公路、保险、物流、建筑与设施管理</t>
        </is>
      </c>
      <c r="C11" s="47" t="n"/>
      <c r="D11" s="45" t="n"/>
      <c r="E11" s="46" t="n"/>
      <c r="F11" s="47" t="n"/>
    </row>
    <row r="12" ht="22.05" customHeight="1" s="42">
      <c r="A12" s="9" t="inlineStr">
        <is>
          <t>报告期</t>
        </is>
      </c>
      <c r="B12" s="48" t="inlineStr">
        <is>
          <t>FY2026（截至2026-06-30）</t>
        </is>
      </c>
      <c r="C12" s="47" t="n"/>
      <c r="D12" s="45" t="inlineStr">
        <is>
          <t>例如 FY2025 或 2026H1</t>
        </is>
      </c>
      <c r="E12" s="46" t="n"/>
      <c r="F12" s="47" t="n"/>
    </row>
    <row r="13" ht="22.05" customHeight="1" s="42">
      <c r="A13" s="9" t="inlineStr">
        <is>
          <t>一句话投资论点</t>
        </is>
      </c>
      <c r="B13" s="65" t="inlineStr">
        <is>
          <t>主业应占溢利仍增长且经营现金方向为正，但现价已靠近牛市情景，普通股息相对股东应占溢利的派息比例高于1。</t>
        </is>
      </c>
      <c r="C13" s="66" t="n"/>
      <c r="D13" s="66" t="n"/>
      <c r="E13" s="66" t="n"/>
      <c r="F13" s="67" t="n"/>
    </row>
    <row r="14" ht="36" customHeight="1" s="42">
      <c r="B14" s="68" t="n"/>
      <c r="C14" s="69" t="n"/>
      <c r="D14" s="69" t="n"/>
      <c r="E14" s="69" t="n"/>
      <c r="F14" s="70" t="n"/>
    </row>
    <row r="16" ht="22.05" customHeight="1" s="42">
      <c r="A16" s="43" t="inlineStr">
        <is>
          <t>决策三分法（人工判断，允许不一致）</t>
        </is>
      </c>
    </row>
    <row r="17" ht="15" customHeight="1" s="42">
      <c r="A17" s="9" t="inlineStr">
        <is>
          <t>内在价值</t>
        </is>
      </c>
      <c r="B17" s="48" t="inlineStr">
        <is>
          <t>贵</t>
        </is>
      </c>
      <c r="C17" s="47" t="n"/>
      <c r="D17" s="45" t="inlineStr">
        <is>
          <t>便宜 / 合理 / 贵</t>
        </is>
      </c>
      <c r="E17" s="46" t="n"/>
      <c r="F17" s="47" t="n"/>
    </row>
    <row r="18" ht="15" customHeight="1" s="42">
      <c r="A18" s="9" t="inlineStr">
        <is>
          <t>近 1–3 月方向</t>
        </is>
      </c>
      <c r="B18" s="48" t="inlineStr">
        <is>
          <t>中性</t>
        </is>
      </c>
      <c r="C18" s="47" t="n"/>
      <c r="D18" s="45" t="inlineStr">
        <is>
          <t>偏多 / 中性 / 偏空</t>
        </is>
      </c>
      <c r="E18" s="46" t="n"/>
      <c r="F18" s="47" t="n"/>
    </row>
    <row r="19" ht="15" customHeight="1" s="42">
      <c r="A19" s="9" t="inlineStr">
        <is>
          <t>投资动作</t>
        </is>
      </c>
      <c r="B19" s="48" t="inlineStr">
        <is>
          <t>等待</t>
        </is>
      </c>
      <c r="C19" s="47" t="n"/>
      <c r="D19" s="45" t="inlineStr">
        <is>
          <t>买入 / 等待 / 减仓 / 观察 / 排除</t>
        </is>
      </c>
      <c r="E19" s="46" t="n"/>
      <c r="F19" s="47" t="n"/>
    </row>
    <row r="20" ht="15" customHeight="1" s="42">
      <c r="A20" s="9" t="inlineStr">
        <is>
          <t>财报可信度</t>
        </is>
      </c>
      <c r="B20" s="48" t="inlineStr">
        <is>
          <t>B</t>
        </is>
      </c>
      <c r="C20" s="47" t="n"/>
      <c r="D20" s="45" t="inlineStr">
        <is>
          <t>A / B / C / D</t>
        </is>
      </c>
      <c r="E20" s="46" t="n"/>
      <c r="F20" s="47" t="n"/>
    </row>
    <row r="21" ht="15" customHeight="1" s="42">
      <c r="A21" s="9" t="inlineStr">
        <is>
          <t>研究置信度</t>
        </is>
      </c>
      <c r="B21" s="48" t="inlineStr">
        <is>
          <t>中</t>
        </is>
      </c>
      <c r="C21" s="47" t="n"/>
      <c r="D21" s="45" t="inlineStr">
        <is>
          <t>高 / 中 / 低</t>
        </is>
      </c>
      <c r="E21" s="46" t="n"/>
      <c r="F21" s="47" t="n"/>
    </row>
    <row r="22" ht="15" customHeight="1" s="42">
      <c r="A22" s="9" t="inlineStr">
        <is>
          <t>最大风险（一条）</t>
        </is>
      </c>
      <c r="B22" s="65" t="inlineStr">
        <is>
          <t>普通股息金额高于本年股东应占溢利，而业绩公告没有给出经营现金流金额；若现金覆盖不了每股0.61港元的普通股息，高股息叙事就不成立。</t>
        </is>
      </c>
      <c r="C22" s="47" t="n"/>
      <c r="D22" s="45" t="inlineStr">
        <is>
          <t>会推翻论点的那一条</t>
        </is>
      </c>
      <c r="E22" s="46" t="n"/>
      <c r="F22" s="47" t="n"/>
    </row>
    <row r="24" ht="22.05" customHeight="1" s="42">
      <c r="A24" s="43" t="inlineStr">
        <is>
          <t>自动汇总（不要改公式）</t>
        </is>
      </c>
    </row>
    <row r="25" ht="22.05" customHeight="1" s="42">
      <c r="A25" s="51" t="inlineStr">
        <is>
          <t>项目</t>
        </is>
      </c>
      <c r="B25" s="51" t="inlineStr">
        <is>
          <t>结果</t>
        </is>
      </c>
      <c r="C25" s="51" t="inlineStr">
        <is>
          <t>读法</t>
        </is>
      </c>
      <c r="D25" s="46" t="n"/>
      <c r="E25" s="46" t="n"/>
      <c r="F25" s="47" t="n"/>
    </row>
    <row r="26" ht="22.05" customHeight="1" s="42">
      <c r="A26" s="9" t="inlineStr">
        <is>
          <t>初筛闸门</t>
        </is>
      </c>
      <c r="B26" s="58">
        <f>初筛!B12</f>
        <v/>
      </c>
      <c r="C26" s="45" t="inlineStr">
        <is>
          <t>通过才继续；排除则停。</t>
        </is>
      </c>
      <c r="D26" s="46" t="n"/>
      <c r="E26" s="46" t="n"/>
      <c r="F26" s="47" t="n"/>
    </row>
    <row r="27" ht="22.05" customHeight="1" s="42">
      <c r="A27" s="9" t="inlineStr">
        <is>
          <t>初筛通过项</t>
        </is>
      </c>
      <c r="B27" s="15">
        <f>初筛!B11</f>
        <v/>
      </c>
      <c r="C27" s="45" t="inlineStr">
        <is>
          <t>5 项里有几项为「是」。</t>
        </is>
      </c>
      <c r="D27" s="46" t="n"/>
      <c r="E27" s="46" t="n"/>
      <c r="F27" s="47" t="n"/>
    </row>
    <row r="28" ht="22.05" customHeight="1" s="42">
      <c r="A28" s="9" t="inlineStr">
        <is>
          <t>Piotroski F</t>
        </is>
      </c>
      <c r="B28" s="15">
        <f>评分!B65</f>
        <v/>
      </c>
      <c r="C28" s="45" t="inlineStr">
        <is>
          <t>8–9 强，0–3 弱。不判断贵贱。</t>
        </is>
      </c>
      <c r="D28" s="46" t="n"/>
      <c r="E28" s="46" t="n"/>
      <c r="F28" s="47" t="n"/>
    </row>
    <row r="29" ht="22.05" customHeight="1" s="42">
      <c r="A29" s="9" t="inlineStr">
        <is>
          <t>Altman Z</t>
        </is>
      </c>
      <c r="B29" s="16">
        <f>评分!B66</f>
        <v/>
      </c>
      <c r="C29" s="45" t="inlineStr">
        <is>
          <t>&gt;2.99 较安全，&lt;1.81 困境区。金融股勿套。</t>
        </is>
      </c>
      <c r="D29" s="46" t="n"/>
      <c r="E29" s="46" t="n"/>
      <c r="F29" s="47" t="n"/>
    </row>
    <row r="30" ht="22.05" customHeight="1" s="42">
      <c r="A30" s="9" t="inlineStr">
        <is>
          <t>Beneish M</t>
        </is>
      </c>
      <c r="B30" s="16">
        <f>评分!B67</f>
        <v/>
      </c>
      <c r="C30" s="45" t="inlineStr">
        <is>
          <t>M &gt; -1.78 需警惕盈余操纵。</t>
        </is>
      </c>
      <c r="D30" s="46" t="n"/>
      <c r="E30" s="46" t="n"/>
      <c r="F30" s="47" t="n"/>
    </row>
    <row r="31" ht="22.05" customHeight="1" s="42">
      <c r="A31" s="9" t="inlineStr">
        <is>
          <t>Base 隐含价</t>
        </is>
      </c>
      <c r="B31" s="71">
        <f>估值!C28</f>
        <v/>
      </c>
      <c r="C31" s="45" t="inlineStr">
        <is>
          <t>基准情景价格。</t>
        </is>
      </c>
      <c r="D31" s="46" t="n"/>
      <c r="E31" s="46" t="n"/>
      <c r="F31" s="47" t="n"/>
    </row>
    <row r="32" ht="22.05" customHeight="1" s="42">
      <c r="A32" s="9" t="inlineStr">
        <is>
          <t>估值区间</t>
        </is>
      </c>
      <c r="B32" s="58">
        <f>估值!C31</f>
        <v/>
      </c>
      <c r="C32" s="45" t="inlineStr">
        <is>
          <t>Bear ~ Bull。</t>
        </is>
      </c>
      <c r="D32" s="46" t="n"/>
      <c r="E32" s="46" t="n"/>
      <c r="F32" s="47" t="n"/>
    </row>
    <row r="33" ht="22.05" customHeight="1" s="42">
      <c r="A33" s="9" t="inlineStr">
        <is>
          <t>期望价 vs 现价</t>
        </is>
      </c>
      <c r="B33" s="72">
        <f>估值!C30</f>
        <v/>
      </c>
      <c r="C33" s="45" t="inlineStr">
        <is>
          <t>正数=模型比现价高。</t>
        </is>
      </c>
      <c r="D33" s="46" t="n"/>
      <c r="E33" s="46" t="n"/>
      <c r="F33" s="47" t="n"/>
    </row>
    <row r="34" ht="22.05" customHeight="1" s="42">
      <c r="A34" s="9" t="inlineStr">
        <is>
          <t>建议仓位上限</t>
        </is>
      </c>
      <c r="B34" s="72">
        <f>风险!C16</f>
        <v/>
      </c>
      <c r="C34" s="45" t="inlineStr">
        <is>
          <t>占组合权益比例。</t>
        </is>
      </c>
      <c r="D34" s="46" t="n"/>
      <c r="E34" s="46" t="n"/>
      <c r="F34" s="47" t="n"/>
    </row>
    <row r="35" ht="22.05" customHeight="1" s="42">
      <c r="A35" s="9" t="inlineStr">
        <is>
          <t>建议金额</t>
        </is>
      </c>
      <c r="B35" s="73">
        <f>风险!C15</f>
        <v/>
      </c>
      <c r="C35" s="45" t="inlineStr">
        <is>
          <t>再与流动性上限取小。</t>
        </is>
      </c>
      <c r="D35" s="46" t="n"/>
      <c r="E35" s="46" t="n"/>
      <c r="F35" s="47" t="n"/>
    </row>
    <row r="37" ht="16.9" customHeight="1" s="42">
      <c r="A37" s="20" t="inlineStr">
        <is>
          <t>填写进度</t>
        </is>
      </c>
      <c r="B37" s="58">
        <f>COUNTA(B5:B12)+COUNTA(B17:B22)&amp;" 项已填"</f>
        <v/>
      </c>
      <c r="C37" s="45" t="inlineStr">
        <is>
          <t>本模板不抓行情。现价、财务请自己从年报 / 交易所 / 数据终端填入。</t>
        </is>
      </c>
      <c r="D37" s="46" t="n"/>
      <c r="E37" s="46" t="n"/>
      <c r="F37" s="47" t="n"/>
    </row>
  </sheetData>
  <mergeCells count="46">
    <mergeCell ref="B13:F14"/>
    <mergeCell ref="A16:F16"/>
    <mergeCell ref="D11:F11"/>
    <mergeCell ref="B7:C7"/>
    <mergeCell ref="B22:C22"/>
    <mergeCell ref="D17:F17"/>
    <mergeCell ref="C32:F32"/>
    <mergeCell ref="D7:F7"/>
    <mergeCell ref="B18:C18"/>
    <mergeCell ref="C37:F37"/>
    <mergeCell ref="C28:F28"/>
    <mergeCell ref="B12:C12"/>
    <mergeCell ref="D21:F21"/>
    <mergeCell ref="A2:F2"/>
    <mergeCell ref="B21:C21"/>
    <mergeCell ref="B11:C11"/>
    <mergeCell ref="C34:F34"/>
    <mergeCell ref="D12:F12"/>
    <mergeCell ref="D18:F18"/>
    <mergeCell ref="C30:F30"/>
    <mergeCell ref="D9:F9"/>
    <mergeCell ref="C33:F33"/>
    <mergeCell ref="A4:F4"/>
    <mergeCell ref="B17:C17"/>
    <mergeCell ref="D8:F8"/>
    <mergeCell ref="B8:C8"/>
    <mergeCell ref="D5:F5"/>
    <mergeCell ref="C35:F35"/>
    <mergeCell ref="B19:C19"/>
    <mergeCell ref="C26:F26"/>
    <mergeCell ref="B10:C10"/>
    <mergeCell ref="C29:F29"/>
    <mergeCell ref="C25:F25"/>
    <mergeCell ref="B9:C9"/>
    <mergeCell ref="D20:F20"/>
    <mergeCell ref="D10:F10"/>
    <mergeCell ref="A24:F24"/>
    <mergeCell ref="B6:C6"/>
    <mergeCell ref="D19:F19"/>
    <mergeCell ref="C31:F31"/>
    <mergeCell ref="B5:C5"/>
    <mergeCell ref="A1:F1"/>
    <mergeCell ref="B20:C20"/>
    <mergeCell ref="D22:F22"/>
    <mergeCell ref="C27:F27"/>
    <mergeCell ref="D6:F6"/>
  </mergeCells>
  <dataValidations count="7">
    <dataValidation sqref="B7" showDropDown="0" showInputMessage="0" showErrorMessage="0" allowBlank="1" errorTitle="无效输入" error="请从下拉列表选择" promptTitle="填写" prompt="从列表选择" type="list">
      <formula1>"A股,港股,美股"</formula1>
    </dataValidation>
    <dataValidation sqref="B10" showDropDown="0" showInputMessage="0" showErrorMessage="0" allowBlank="1" errorTitle="无效输入" error="请从下拉列表选择" promptTitle="填写" prompt="从列表选择" type="list">
      <formula1>"CNY,HKD,USD"</formula1>
    </dataValidation>
    <dataValidation sqref="B17" showDropDown="0" showInputMessage="0" showErrorMessage="0" allowBlank="1" errorTitle="无效输入" error="请从下拉列表选择" promptTitle="填写" prompt="从列表选择" type="list">
      <formula1>"便宜,合理,贵"</formula1>
    </dataValidation>
    <dataValidation sqref="B18" showDropDown="0" showInputMessage="0" showErrorMessage="0" allowBlank="1" errorTitle="无效输入" error="请从下拉列表选择" promptTitle="填写" prompt="从列表选择" type="list">
      <formula1>"偏多,中性,偏空"</formula1>
    </dataValidation>
    <dataValidation sqref="B19" showDropDown="0" showInputMessage="0" showErrorMessage="0" allowBlank="1" errorTitle="无效输入" error="请从下拉列表选择" promptTitle="填写" prompt="从列表选择" type="list">
      <formula1>"买入,等待,减仓,观察,排除"</formula1>
    </dataValidation>
    <dataValidation sqref="B20" showDropDown="0" showInputMessage="0" showErrorMessage="0" allowBlank="1" errorTitle="无效输入" error="请从下拉列表选择" promptTitle="填写" prompt="从列表选择" type="list">
      <formula1>"A,B,C,D"</formula1>
    </dataValidation>
    <dataValidation sqref="B21" showDropDown="0" showInputMessage="0" showErrorMessage="0" allowBlank="1" errorTitle="无效输入" error="请从下拉列表选择" promptTitle="填写" prompt="从列表选择" type="list">
      <formula1>"高,中,低"</formula1>
    </dataValidation>
  </dataValidations>
  <printOptions horizontalCentered="1"/>
  <pageMargins left="0.5" right="0.5" top="0.6" bottom="0.6" header="0.5" footer="0.5"/>
  <pageSetup orientation="portrait" paperSize="9" fitToHeight="0"/>
  <legacyDrawing xmlns:r="http://schemas.openxmlformats.org/officeDocument/2006/relationships" r:id="anysvml"/>
</worksheet>
</file>

<file path=xl/worksheets/sheet3.xml><?xml version="1.0" encoding="utf-8"?>
<worksheet xmlns="http://schemas.openxmlformats.org/spreadsheetml/2006/main">
  <sheetPr>
    <tabColor rgb="FFC65911"/>
    <outlinePr summaryBelow="1" summaryRight="1"/>
    <pageSetUpPr fitToPage="1"/>
  </sheetPr>
  <dimension ref="A1:F17"/>
  <sheetViews>
    <sheetView showGridLines="0" workbookViewId="0">
      <pane ySplit="1" topLeftCell="A2" activePane="bottomLeft" state="frozen"/>
      <selection pane="bottomLeft" activeCell="A1" sqref="A1"/>
    </sheetView>
  </sheetViews>
  <sheetFormatPr baseColWidth="8" defaultRowHeight="13.5"/>
  <cols>
    <col width="8" customWidth="1" style="42" min="1" max="1"/>
    <col width="52" customWidth="1" style="42" min="2" max="2"/>
    <col width="14" customWidth="1" style="42" min="3" max="3"/>
    <col width="42" customWidth="1" style="42" min="4" max="4"/>
    <col width="22" customWidth="1" style="42" min="5" max="6"/>
  </cols>
  <sheetData>
    <row r="1" ht="28.05" customHeight="1" s="42">
      <c r="A1" s="53" t="inlineStr">
        <is>
          <t>15 分钟初筛  ·  过不了就停</t>
        </is>
      </c>
      <c r="B1" s="46" t="n"/>
      <c r="C1" s="46" t="n"/>
      <c r="D1" s="46" t="n"/>
      <c r="E1" s="46" t="n"/>
      <c r="F1" s="47" t="n"/>
    </row>
    <row r="2">
      <c r="A2" s="58">
        <f>"标的："&amp;IF(封面!B5="","（先填封面代码）",封面!B5&amp;"  "&amp;封面!B6)</f>
        <v/>
      </c>
      <c r="B2" s="46" t="n"/>
      <c r="C2" s="46" t="n"/>
      <c r="D2" s="46" t="n"/>
      <c r="E2" s="46" t="n"/>
      <c r="F2" s="47" t="n"/>
    </row>
    <row r="3" ht="36" customHeight="1" s="42">
      <c r="A3" s="49" t="inlineStr">
        <is>
          <t>只回答能不能研究，不回答贵不贵。任一项为「否」→ 排除。五项皆「是」→ 通过。有「待查」→ 先去补材料。</t>
        </is>
      </c>
    </row>
    <row r="5" ht="22.05" customHeight="1" s="42">
      <c r="A5" s="51" t="inlineStr">
        <is>
          <t>#</t>
        </is>
      </c>
      <c r="B5" s="51" t="inlineStr">
        <is>
          <t>检查项</t>
        </is>
      </c>
      <c r="C5" s="51" t="inlineStr">
        <is>
          <t>结论</t>
        </is>
      </c>
      <c r="D5" s="51" t="inlineStr">
        <is>
          <t>备注（来源/页码）</t>
        </is>
      </c>
      <c r="E5" s="51" t="inlineStr">
        <is>
          <t>健康信号</t>
        </is>
      </c>
      <c r="F5" s="51" t="inlineStr">
        <is>
          <t>危险信号</t>
        </is>
      </c>
    </row>
    <row r="6" ht="36" customHeight="1" s="42">
      <c r="A6" s="2" t="inlineStr">
        <is>
          <t>1</t>
        </is>
      </c>
      <c r="B6" s="55" t="inlineStr">
        <is>
          <t>商业模式：能用两句话讲清客户、收费方式、成本从哪来</t>
        </is>
      </c>
      <c r="C6" s="48" t="inlineStr">
        <is>
          <t>是</t>
        </is>
      </c>
      <c r="D6" s="65" t="inlineStr">
        <is>
          <t>客户来自道路使用者、保单持有人、物流租户、建造业主和会展医疗场馆。FY2026对外收入27,099.7百万港元，其中建筑17,915.8、金融4,752.4、道路2,777.8。港交所2026-09-24全年业绩公告。</t>
        </is>
      </c>
      <c r="E6" s="21" t="inlineStr">
        <is>
          <t>模式一句话说清</t>
        </is>
      </c>
      <c r="F6" s="60" t="inlineStr">
        <is>
          <t>说不清怎么赚钱</t>
        </is>
      </c>
    </row>
    <row r="7" ht="36" customHeight="1" s="42">
      <c r="A7" s="2" t="inlineStr">
        <is>
          <t>2</t>
        </is>
      </c>
      <c r="B7" s="55" t="inlineStr">
        <is>
          <t>大股东/实控人：是经营公司，还是把公司当融资工具</t>
        </is>
      </c>
      <c r="C7" s="48" t="inlineStr">
        <is>
          <t>是</t>
        </is>
      </c>
      <c r="D7" s="65" t="inlineStr">
        <is>
          <t>主席郑家纯，执行董事包括郑志明、郑志亮。公司经营道路、保险、物流和建筑，并连续第23年派发普通股息。年内有可换股债券转换和红股，但不是把上市公司只当作融资壳。公告董事会一节及股息一节。</t>
        </is>
      </c>
      <c r="E7" s="21" t="inlineStr">
        <is>
          <t>利益与小股东同向</t>
        </is>
      </c>
      <c r="F7" s="60" t="inlineStr">
        <is>
          <t>频繁定增、占用、担保</t>
        </is>
      </c>
    </row>
    <row r="8" ht="36" customHeight="1" s="42">
      <c r="A8" s="2" t="inlineStr">
        <is>
          <t>3</t>
        </is>
      </c>
      <c r="B8" s="55" t="inlineStr">
        <is>
          <t>最近完整年度经营现金流为正，且与净利润方向一致</t>
        </is>
      </c>
      <c r="C8" s="48" t="inlineStr">
        <is>
          <t>是</t>
        </is>
      </c>
      <c r="D8" s="65" t="inlineStr">
        <is>
          <t>股东应占溢利2,392.6百万港元，方向为正。财务资源一节写明债务净额下降的原因包括经营活动产生的净现金流入。公告没有现金流量表，金额待查，方向足够判断本项。</t>
        </is>
      </c>
      <c r="E8" s="21" t="inlineStr">
        <is>
          <t>OCF&gt;0 且与利润同向</t>
        </is>
      </c>
      <c r="F8" s="60" t="inlineStr">
        <is>
          <t>利润涨、现金持续为负</t>
        </is>
      </c>
    </row>
    <row r="9" ht="36" customHeight="1" s="42">
      <c r="A9" s="2" t="inlineStr">
        <is>
          <t>4</t>
        </is>
      </c>
      <c r="B9" s="55" t="inlineStr">
        <is>
          <t>有息负债、短债、财务费用在可承受范围</t>
        </is>
      </c>
      <c r="C9" s="48" t="inlineStr">
        <is>
          <t>是</t>
        </is>
      </c>
      <c r="D9" s="65" t="inlineStr">
        <is>
          <t>借貸及其他計息負債32,415.2百万港元，现金及银行結存20,760.7百万，债务净额11,654.5百万。一年内到期债务约79亿港元，可用流动资金约313亿港元。平均借贷成本约4.1%。财务费用1,494.2百万，低于经营溢利3,731.5百万。</t>
        </is>
      </c>
      <c r="E9" s="21" t="inlineStr">
        <is>
          <t>短债有现金或稳定现金流覆盖</t>
        </is>
      </c>
      <c r="F9" s="60" t="inlineStr">
        <is>
          <t>短债滚续、利息吃掉利润</t>
        </is>
      </c>
    </row>
    <row r="10" ht="36" customHeight="1" s="42">
      <c r="A10" s="2" t="inlineStr">
        <is>
          <t>5</t>
        </is>
      </c>
      <c r="B10" s="55" t="inlineStr">
        <is>
          <t>扣除非经常性损益后，主业利润还站得住</t>
        </is>
      </c>
      <c r="C10" s="48" t="inlineStr">
        <is>
          <t>是</t>
        </is>
      </c>
      <c r="D10" s="65" t="inlineStr">
        <is>
          <t>股东应占溢利2,392.6百万港元。非经营项目合计为净亏损，包括投资物业公平值亏损和道路减值，不是靠一次性收益撑起利润。应占经营溢利4,590.6百万港元。香港公告没有A股扣非口径。</t>
        </is>
      </c>
      <c r="E10" s="21" t="inlineStr">
        <is>
          <t>扣非后主业仍赚钱</t>
        </is>
      </c>
      <c r="F10" s="60" t="inlineStr">
        <is>
          <t>靠补贴、公允价值、一次性项目</t>
        </is>
      </c>
    </row>
    <row r="11" ht="15" customHeight="1" s="42">
      <c r="A11" s="9" t="inlineStr">
        <is>
          <t>通过项数</t>
        </is>
      </c>
      <c r="B11" s="23">
        <f>COUNTIF(C6:C10,"是")</f>
        <v/>
      </c>
      <c r="C11" s="58">
        <f>COUNTIF(C6:C10,"是")&amp;" / 5"</f>
        <v/>
      </c>
      <c r="D11" s="46" t="n"/>
      <c r="E11" s="46" t="n"/>
      <c r="F11" s="47" t="n"/>
    </row>
    <row r="12" ht="15" customHeight="1" s="42">
      <c r="A12" s="9" t="inlineStr">
        <is>
          <t>闸门结论</t>
        </is>
      </c>
      <c r="B12" s="24">
        <f>IF(COUNTIF(C6:C10,"否")&gt;0,"排除",IF(COUNTIF(C6:C10,"是")=5,"通过","待完成"))</f>
        <v/>
      </c>
      <c r="C12" s="45" t="inlineStr">
        <is>
          <t>排除：停止建模。通过：进入财务表。待完成：先补年报/公告。</t>
        </is>
      </c>
      <c r="D12" s="46" t="n"/>
      <c r="E12" s="46" t="n"/>
      <c r="F12" s="47" t="n"/>
    </row>
    <row r="14" ht="22.05" customHeight="1" s="42">
      <c r="A14" s="43" t="inlineStr">
        <is>
          <t>若通过，用一句话写下商业模式（给备忘录用）</t>
        </is>
      </c>
    </row>
    <row r="15" ht="22.05" customHeight="1" s="42">
      <c r="A15" s="65" t="inlineStr">
        <is>
          <t>向道路使用者、投保人、租户和建造业主收费；成本主要是建筑成本、保险服务费用和特许经营摊销。FY2026收入27,099.7百万港元，经营溢利3,731.5百万港元。</t>
        </is>
      </c>
      <c r="B15" s="66" t="n"/>
      <c r="C15" s="66" t="n"/>
      <c r="D15" s="66" t="n"/>
      <c r="E15" s="66" t="n"/>
      <c r="F15" s="67" t="n"/>
    </row>
    <row r="16" ht="22.05" customHeight="1" s="42">
      <c r="A16" s="74" t="n"/>
      <c r="F16" s="75" t="n"/>
    </row>
    <row r="17" ht="22.05" customHeight="1" s="42">
      <c r="A17" s="68" t="n"/>
      <c r="B17" s="69" t="n"/>
      <c r="C17" s="69" t="n"/>
      <c r="D17" s="69" t="n"/>
      <c r="E17" s="69" t="n"/>
      <c r="F17" s="70" t="n"/>
    </row>
  </sheetData>
  <mergeCells count="7">
    <mergeCell ref="A2:F2"/>
    <mergeCell ref="A15:F17"/>
    <mergeCell ref="A14:F14"/>
    <mergeCell ref="A1:F1"/>
    <mergeCell ref="C12:F12"/>
    <mergeCell ref="C11:F11"/>
    <mergeCell ref="A3:F3"/>
  </mergeCells>
  <dataValidations count="1">
    <dataValidation sqref="C6:C10" showDropDown="0" showInputMessage="0" showErrorMessage="0" allowBlank="1" errorTitle="无效输入" error="请从下拉列表选择" promptTitle="填写" prompt="从列表选择" type="list">
      <formula1>"是,否,待查"</formula1>
    </dataValidation>
  </dataValidations>
  <printOptions horizontalCentered="1"/>
  <pageMargins left="0.5" right="0.5" top="0.6" bottom="0.6" header="0.5" footer="0.5"/>
  <pageSetup orientation="portrait" paperSize="9" fitToHeight="0"/>
</worksheet>
</file>

<file path=xl/worksheets/sheet4.xml><?xml version="1.0" encoding="utf-8"?>
<worksheet xmlns="http://schemas.openxmlformats.org/spreadsheetml/2006/main">
  <sheetPr>
    <tabColor rgb="FF548235"/>
    <outlinePr summaryBelow="1" summaryRight="1"/>
    <pageSetUpPr fitToPage="1"/>
  </sheetPr>
  <dimension ref="A1:I33"/>
  <sheetViews>
    <sheetView showGridLines="0" workbookViewId="0">
      <pane ySplit="1" topLeftCell="A2" activePane="bottomLeft" state="frozen"/>
      <selection pane="bottomLeft" activeCell="A1" sqref="A1"/>
    </sheetView>
  </sheetViews>
  <sheetFormatPr baseColWidth="8" defaultRowHeight="13.5"/>
  <cols>
    <col width="18" customWidth="1" style="42" min="1" max="1"/>
    <col width="16" customWidth="1" style="42" min="2" max="2"/>
    <col width="14" customWidth="1" style="42" min="3" max="7"/>
    <col width="16" customWidth="1" style="42" min="8" max="8"/>
    <col width="28" customWidth="1" style="42" min="9" max="9"/>
  </cols>
  <sheetData>
    <row r="1" ht="28.05" customHeight="1" s="42">
      <c r="A1" s="53" t="inlineStr">
        <is>
          <t>财务质量  ·  先核对三表，再谈估值</t>
        </is>
      </c>
      <c r="B1" s="46" t="n"/>
      <c r="C1" s="46" t="n"/>
      <c r="D1" s="46" t="n"/>
      <c r="E1" s="46" t="n"/>
      <c r="F1" s="46" t="n"/>
      <c r="G1" s="46" t="n"/>
      <c r="H1" s="46" t="n"/>
      <c r="I1" s="47" t="n"/>
    </row>
    <row r="2">
      <c r="A2" s="58">
        <f>"标的："&amp;IF(封面!B5="","（先填封面）",封面!B5&amp;"  "&amp;封面!B6&amp;"  报告期 "&amp;封面!B12)</f>
        <v/>
      </c>
      <c r="B2" s="46" t="n"/>
      <c r="C2" s="46" t="n"/>
      <c r="D2" s="46" t="n"/>
      <c r="E2" s="46" t="n"/>
      <c r="F2" s="46" t="n"/>
      <c r="G2" s="46" t="n"/>
      <c r="H2" s="46" t="n"/>
      <c r="I2" s="47" t="n"/>
    </row>
    <row r="3" ht="36" customHeight="1" s="42">
      <c r="A3" s="49" t="inlineStr">
        <is>
          <t>黄格填年报数字（单位自定，全表保持一致，建议百万元）。绿格是同比或比率。至少填最近两年，才能驱动「评分」表。金融股部分比率不适用，在备注说明。</t>
        </is>
      </c>
    </row>
    <row r="5" ht="22.05" customHeight="1" s="42">
      <c r="A5" s="51" t="inlineStr">
        <is>
          <t>科目</t>
        </is>
      </c>
      <c r="B5" s="51" t="inlineStr">
        <is>
          <t>T-4</t>
        </is>
      </c>
      <c r="C5" s="51" t="inlineStr">
        <is>
          <t>T-3</t>
        </is>
      </c>
      <c r="D5" s="51" t="inlineStr">
        <is>
          <t>T-2</t>
        </is>
      </c>
      <c r="E5" s="51" t="inlineStr">
        <is>
          <t>T-1</t>
        </is>
      </c>
      <c r="F5" s="51" t="inlineStr">
        <is>
          <t>T（最新）</t>
        </is>
      </c>
      <c r="G5" s="51" t="inlineStr">
        <is>
          <t>T 同比</t>
        </is>
      </c>
      <c r="H5" s="51" t="inlineStr">
        <is>
          <t>现金转化/备注</t>
        </is>
      </c>
      <c r="I5" s="51" t="inlineStr">
        <is>
          <t>来源（年报页）</t>
        </is>
      </c>
    </row>
    <row r="6" ht="15" customHeight="1" s="42">
      <c r="A6" s="9" t="inlineStr">
        <is>
          <t>年份（文本）</t>
        </is>
      </c>
      <c r="B6" s="25" t="n"/>
      <c r="C6" s="25" t="n"/>
      <c r="D6" s="25" t="n"/>
      <c r="E6" s="25" t="inlineStr">
        <is>
          <t>FY2025</t>
        </is>
      </c>
      <c r="F6" s="25" t="inlineStr">
        <is>
          <t>FY2026</t>
        </is>
      </c>
      <c r="G6" s="26" t="inlineStr">
        <is>
          <t>勿填</t>
        </is>
      </c>
      <c r="H6" s="26" t="inlineStr">
        <is>
          <t>单位写这里 →</t>
        </is>
      </c>
      <c r="I6" s="48" t="inlineStr">
        <is>
          <t>百万港元</t>
        </is>
      </c>
    </row>
    <row r="7" ht="20" customHeight="1" s="42">
      <c r="A7" s="9" t="inlineStr">
        <is>
          <t>营业收入</t>
        </is>
      </c>
      <c r="B7" s="64" t="n"/>
      <c r="C7" s="64" t="n"/>
      <c r="D7" s="64" t="n"/>
      <c r="E7" s="64" t="n">
        <v>24285.3</v>
      </c>
      <c r="F7" s="64" t="n">
        <v>27099.7</v>
      </c>
      <c r="G7" s="76">
        <f>IF(OR(E7="",E7=0,F7=""),"",(F7-E7)/E7)</f>
        <v/>
      </c>
      <c r="H7" s="28" t="inlineStr">
        <is>
          <t>对外收入</t>
        </is>
      </c>
      <c r="I7" s="41" t="inlineStr">
        <is>
          <t>港交所业绩公告综合收益表收入。更早年度待查。</t>
        </is>
      </c>
    </row>
    <row r="8" ht="20" customHeight="1" s="42">
      <c r="A8" s="9" t="inlineStr">
        <is>
          <t>毛利</t>
        </is>
      </c>
      <c r="B8" s="64" t="n"/>
      <c r="C8" s="64" t="n"/>
      <c r="D8" s="64" t="n"/>
      <c r="E8" s="64" t="n">
        <v>3951.499999999999</v>
      </c>
      <c r="F8" s="64" t="n">
        <v>4019.2</v>
      </c>
      <c r="G8" s="76">
        <f>IF(OR(E8="",E8=0,F8=""),"",(F8-E8)/E8)</f>
        <v/>
      </c>
      <c r="H8" s="28" t="inlineStr">
        <is>
          <t>自算毛利</t>
        </is>
      </c>
      <c r="I8" s="41" t="inlineStr">
        <is>
          <t>收入减销售成本减保险服务费用。未扣保险财务开支。</t>
        </is>
      </c>
    </row>
    <row r="9" ht="20" customHeight="1" s="42">
      <c r="A9" s="9" t="inlineStr">
        <is>
          <t>毛利率</t>
        </is>
      </c>
      <c r="B9" s="77" t="n"/>
      <c r="C9" s="77" t="n"/>
      <c r="D9" s="77" t="n"/>
      <c r="E9" s="77" t="n">
        <v>0.1627115991978686</v>
      </c>
      <c r="F9" s="77" t="n">
        <v>0.1483116049255158</v>
      </c>
      <c r="G9" s="76">
        <f>IF(OR(E9="",F9=""),"",F9-E9)</f>
        <v/>
      </c>
      <c r="H9" s="76">
        <f>IF(OR(F7="",F7=0,F8=""),"",F8/F7)</f>
        <v/>
      </c>
      <c r="I9" s="41" t="inlineStr">
        <is>
          <t>毛利除以收入。</t>
        </is>
      </c>
    </row>
    <row r="10" ht="20" customHeight="1" s="42">
      <c r="A10" s="9" t="inlineStr">
        <is>
          <t>扣非净利润</t>
        </is>
      </c>
      <c r="B10" s="64" t="n"/>
      <c r="C10" s="64" t="n"/>
      <c r="D10" s="64" t="n"/>
      <c r="E10" s="64" t="n">
        <v>2162</v>
      </c>
      <c r="F10" s="64" t="n">
        <v>2392.6</v>
      </c>
      <c r="G10" s="76">
        <f>IF(OR(E10="",E10=0,F10=""),"",(F10-E10)/E10)</f>
        <v/>
      </c>
      <c r="H10" s="28" t="inlineStr">
        <is>
          <t>股东应占溢利</t>
        </is>
      </c>
      <c r="I10" s="41" t="inlineStr">
        <is>
          <t>香港公告无A股扣非。非经营项目为净亏损，这里用股东应占溢利，不把一次性收益加回。</t>
        </is>
      </c>
    </row>
    <row r="11" ht="20" customHeight="1" s="42">
      <c r="A11" s="9" t="inlineStr">
        <is>
          <t>净利润</t>
        </is>
      </c>
      <c r="B11" s="64" t="n"/>
      <c r="C11" s="64" t="n"/>
      <c r="D11" s="64" t="n"/>
      <c r="E11" s="64" t="n">
        <v>2162</v>
      </c>
      <c r="F11" s="64" t="n">
        <v>2392.6</v>
      </c>
      <c r="G11" s="76">
        <f>IF(OR(E11="",E11=0,F11=""),"",(F11-E11)/E11)</f>
        <v/>
      </c>
      <c r="H11" s="28" t="inlineStr">
        <is>
          <t>股东应占</t>
        </is>
      </c>
      <c r="I11" s="65" t="inlineStr">
        <is>
          <t>综合收益表本公司股东应占溢利。年内溢利含永续资本证券持有者，FY2026为2,570.9。</t>
        </is>
      </c>
    </row>
    <row r="12" ht="20" customHeight="1" s="42">
      <c r="A12" s="9" t="inlineStr">
        <is>
          <t>经营现金流</t>
        </is>
      </c>
      <c r="B12" s="64" t="n"/>
      <c r="C12" s="64" t="n"/>
      <c r="D12" s="64" t="n"/>
      <c r="E12" s="64" t="n"/>
      <c r="F12" s="64" t="n"/>
      <c r="G12" s="76">
        <f>IF(OR(E12="",E12=0,F12=""),"",(F12-E12)/E12)</f>
        <v/>
      </c>
      <c r="H12" s="78">
        <f>IF(OR(F11="",F11=0,F12=""),"",F12/F11)</f>
        <v/>
      </c>
      <c r="I12" s="65" t="inlineStr">
        <is>
          <t>现金流量表未载于这份业绩公告。正文只写经营活动产生净现金流入，金额待查。 金额待查</t>
        </is>
      </c>
    </row>
    <row r="13" ht="20" customHeight="1" s="42">
      <c r="A13" s="9" t="inlineStr">
        <is>
          <t>资本开支</t>
        </is>
      </c>
      <c r="B13" s="64" t="n"/>
      <c r="C13" s="64" t="n"/>
      <c r="D13" s="64" t="n"/>
      <c r="E13" s="64" t="n"/>
      <c r="F13" s="64" t="n"/>
      <c r="G13" s="76">
        <f>IF(OR(E13="",E13=0,F13=""),"",(F13-E13)/E13)</f>
        <v/>
      </c>
      <c r="H13" s="28" t="inlineStr">
        <is>
          <t>待查</t>
        </is>
      </c>
      <c r="I13" s="65" t="inlineStr">
        <is>
          <t>现金资本开支待查。分部附注的资产增加FY2026为1,832.9百万港元，不是资本开支。</t>
        </is>
      </c>
    </row>
    <row r="14" ht="20" customHeight="1" s="42">
      <c r="A14" s="9" t="inlineStr">
        <is>
          <t>自由现金流</t>
        </is>
      </c>
      <c r="B14" s="64" t="n"/>
      <c r="C14" s="64" t="n"/>
      <c r="D14" s="64" t="n"/>
      <c r="E14" s="64" t="n"/>
      <c r="F14" s="64" t="n"/>
      <c r="G14" s="76">
        <f>IF(OR(E14="",E14=0,F14=""),"",(F14-E14)/E14)</f>
        <v/>
      </c>
      <c r="H14" s="79">
        <f>IF(OR(F12="",F13=""),"",F12-F13)</f>
        <v/>
      </c>
      <c r="I14" s="41" t="inlineStr">
        <is>
          <t>经营现金流金额待查，自由现金流待查。 待查</t>
        </is>
      </c>
    </row>
    <row r="15" ht="20" customHeight="1" s="42">
      <c r="A15" s="9" t="inlineStr">
        <is>
          <t>ROE</t>
        </is>
      </c>
      <c r="B15" s="77" t="n"/>
      <c r="C15" s="77" t="n"/>
      <c r="D15" s="77" t="n"/>
      <c r="E15" s="77" t="n">
        <v>0.05762751620607301</v>
      </c>
      <c r="F15" s="77" t="n">
        <v>0.06023999315168514</v>
      </c>
      <c r="G15" s="76">
        <f>IF(OR(E15="",F15=""),"",F15-E15)</f>
        <v/>
      </c>
      <c r="H15" s="28" t="inlineStr">
        <is>
          <t>期末ROE</t>
        </is>
      </c>
      <c r="I15" s="41" t="inlineStr">
        <is>
          <t>股东应占溢利除以期末股东权益，不是平均权益。</t>
        </is>
      </c>
    </row>
    <row r="16" ht="20" customHeight="1" s="42">
      <c r="A16" s="9" t="inlineStr">
        <is>
          <t>ROIC</t>
        </is>
      </c>
      <c r="B16" s="77" t="n"/>
      <c r="C16" s="77" t="n"/>
      <c r="D16" s="77" t="n"/>
      <c r="E16" s="77" t="n">
        <v>0.04833232654960297</v>
      </c>
      <c r="F16" s="77" t="n">
        <v>0.0570532443926297</v>
      </c>
      <c r="G16" s="76">
        <f>IF(OR(E16="",F16=""),"",F16-E16)</f>
        <v/>
      </c>
      <c r="H16" s="28" t="inlineStr">
        <is>
          <t>近似ROIC</t>
        </is>
      </c>
      <c r="I16" s="65" t="inlineStr">
        <is>
          <t>经营溢利×（1-实际税率）除以（期末股东权益+债务净额）。实际税率=所得税/除税前溢利。保险浮存金使这个口径只是近似。</t>
        </is>
      </c>
    </row>
    <row r="17" ht="20" customHeight="1" s="42">
      <c r="A17" s="9" t="inlineStr">
        <is>
          <t>总资产</t>
        </is>
      </c>
      <c r="B17" s="64" t="n"/>
      <c r="C17" s="64" t="n"/>
      <c r="D17" s="64" t="n"/>
      <c r="E17" s="64" t="n">
        <v>172895.6</v>
      </c>
      <c r="F17" s="64" t="n">
        <v>191157.6</v>
      </c>
      <c r="G17" s="76">
        <f>IF(OR(E17="",E17=0,F17=""),"",(F17-E17)/E17)</f>
        <v/>
      </c>
      <c r="H17" s="28" t="n"/>
      <c r="I17" s="41" t="inlineStr">
        <is>
          <t>综合财务状况表总资产。</t>
        </is>
      </c>
    </row>
    <row r="18" ht="20" customHeight="1" s="42">
      <c r="A18" s="9" t="inlineStr">
        <is>
          <t>有息负债</t>
        </is>
      </c>
      <c r="B18" s="64" t="n"/>
      <c r="C18" s="64" t="n"/>
      <c r="D18" s="64" t="n"/>
      <c r="E18" s="64" t="n">
        <v>34861.8</v>
      </c>
      <c r="F18" s="64" t="n">
        <v>32415.2</v>
      </c>
      <c r="G18" s="76">
        <f>IF(OR(E18="",E18=0,F18=""),"",(F18-E18)/E18)</f>
        <v/>
      </c>
      <c r="H18" s="28" t="n"/>
      <c r="I18" s="41" t="inlineStr">
        <is>
          <t>借貸及其他計息負債。租赁负债另计，FY2026为550.1，未并入本行。</t>
        </is>
      </c>
    </row>
    <row r="19" ht="20" customHeight="1" s="42">
      <c r="A19" s="9" t="inlineStr">
        <is>
          <t>现金及等价物</t>
        </is>
      </c>
      <c r="B19" s="64" t="n"/>
      <c r="C19" s="64" t="n"/>
      <c r="D19" s="64" t="n"/>
      <c r="E19" s="64" t="n">
        <v>20210.7</v>
      </c>
      <c r="F19" s="64" t="n">
        <v>20760.7</v>
      </c>
      <c r="G19" s="76">
        <f>IF(OR(E19="",E19=0,F19=""),"",(F19-E19)/E19)</f>
        <v/>
      </c>
      <c r="H19" s="28" t="n"/>
      <c r="I19" s="41" t="inlineStr">
        <is>
          <t>现金及银行结存。待售资产里另有现金424.2，未并入本行。</t>
        </is>
      </c>
    </row>
    <row r="20" ht="20" customHeight="1" s="42">
      <c r="A20" s="9" t="inlineStr">
        <is>
          <t>净负债</t>
        </is>
      </c>
      <c r="B20" s="64" t="n"/>
      <c r="C20" s="64" t="n"/>
      <c r="D20" s="64" t="n"/>
      <c r="E20" s="64" t="n">
        <v>14651.1</v>
      </c>
      <c r="F20" s="64" t="n">
        <v>11654.5</v>
      </c>
      <c r="G20" s="76">
        <f>IF(OR(E20="",E20=0,F20=""),"",(F20-E20)/E20)</f>
        <v/>
      </c>
      <c r="H20" s="79">
        <f>IF(OR(F18="",F19=""),"",F18-F19)</f>
        <v/>
      </c>
      <c r="I20" s="41" t="inlineStr">
        <is>
          <t>有息负债减现金。FY2026等于公告债务净额116.545亿港元。</t>
        </is>
      </c>
    </row>
    <row r="21" ht="20" customHeight="1" s="42">
      <c r="A21" s="9" t="inlineStr">
        <is>
          <t>商誉</t>
        </is>
      </c>
      <c r="B21" s="64" t="n"/>
      <c r="C21" s="64" t="n"/>
      <c r="D21" s="64" t="n"/>
      <c r="E21" s="64" t="n"/>
      <c r="F21" s="64" t="n"/>
      <c r="G21" s="76">
        <f>IF(OR(E21="",E21=0,F21=""),"",(F21-E21)/E21)</f>
        <v/>
      </c>
      <c r="H21" s="28" t="inlineStr">
        <is>
          <t>待查</t>
        </is>
      </c>
      <c r="I21" s="65" t="inlineStr">
        <is>
          <t>资产负债表未单列商誉。无形资产FY2026为6,177.4，特许经营权6,178.4。商誉待查。</t>
        </is>
      </c>
    </row>
    <row r="22" ht="20" customHeight="1" s="42">
      <c r="A22" s="9" t="inlineStr">
        <is>
          <t>应收账款</t>
        </is>
      </c>
      <c r="B22" s="64" t="n"/>
      <c r="C22" s="64" t="n"/>
      <c r="D22" s="64" t="n"/>
      <c r="E22" s="64" t="n">
        <v>1853.2</v>
      </c>
      <c r="F22" s="64" t="n">
        <v>1659.6</v>
      </c>
      <c r="G22" s="76">
        <f>IF(OR(E22="",E22=0,F22=""),"",(F22-E22)/E22)</f>
        <v/>
      </c>
      <c r="H22" s="28" t="inlineStr">
        <is>
          <t>贸易应收</t>
        </is>
      </c>
      <c r="I22" s="65" t="inlineStr">
        <is>
          <t>附注10贸易应收款账龄合计。贸易及其他应收款FY2026为8,784.8，口径更宽。</t>
        </is>
      </c>
    </row>
    <row r="23" ht="20" customHeight="1" s="42">
      <c r="A23" s="9" t="inlineStr">
        <is>
          <t>存货</t>
        </is>
      </c>
      <c r="B23" s="64" t="n"/>
      <c r="C23" s="64" t="n"/>
      <c r="D23" s="64" t="n"/>
      <c r="E23" s="64" t="n">
        <v>20.8</v>
      </c>
      <c r="F23" s="64" t="n">
        <v>28</v>
      </c>
      <c r="G23" s="76">
        <f>IF(OR(E23="",E23=0,F23=""),"",(F23-E23)/E23)</f>
        <v/>
      </c>
      <c r="H23" s="28" t="n"/>
      <c r="I23" s="41" t="inlineStr">
        <is>
          <t>存货。</t>
        </is>
      </c>
    </row>
    <row r="24" ht="20" customHeight="1" s="42">
      <c r="A24" s="9" t="inlineStr">
        <is>
          <t>股本（稀释后）</t>
        </is>
      </c>
      <c r="B24" s="64" t="n"/>
      <c r="C24" s="64" t="n"/>
      <c r="D24" s="64" t="n"/>
      <c r="E24" s="64" t="n">
        <v>4009.8</v>
      </c>
      <c r="F24" s="64" t="n">
        <v>4566.3</v>
      </c>
      <c r="G24" s="76">
        <f>IF(OR(E24="",E24=0,F24=""),"",(F24-E24)/E24)</f>
        <v/>
      </c>
      <c r="H24" s="28" t="inlineStr">
        <is>
          <t>百万股</t>
        </is>
      </c>
      <c r="I24" s="65" t="inlineStr">
        <is>
          <t>股本。末期股息1,506.9百万港元除以0.33港元等于4,566.4百万股，与FY2026股本4,566.3一致，按每股面值1港元理解。</t>
        </is>
      </c>
    </row>
    <row r="25" ht="36" customHeight="1" s="42">
      <c r="A25" s="49" t="inlineStr">
        <is>
          <t>核对：H9 应接近你填的毛利率；H12 是经营现金流/净利润（现金转化，&gt;0.8 较健康）；H14=OCF-资本开支；H20=有息负债-现金。数字对不上年报时先停。</t>
        </is>
      </c>
    </row>
    <row r="27" ht="22.05" customHeight="1" s="42">
      <c r="A27" s="43" t="inlineStr">
        <is>
          <t>质量解读（文字，给备忘录用）</t>
        </is>
      </c>
    </row>
    <row r="28" ht="22.05" customHeight="1" s="42">
      <c r="A28" s="51" t="inlineStr">
        <is>
          <t>维度</t>
        </is>
      </c>
      <c r="B28" s="51" t="inlineStr">
        <is>
          <t>看什么</t>
        </is>
      </c>
      <c r="C28" s="51" t="inlineStr">
        <is>
          <t>你的判断（黄格）</t>
        </is>
      </c>
      <c r="D28" s="46" t="n"/>
      <c r="E28" s="47" t="n"/>
      <c r="F28" s="51" t="inlineStr">
        <is>
          <t>危险信号对照</t>
        </is>
      </c>
      <c r="G28" s="46" t="n"/>
      <c r="H28" s="46" t="n"/>
      <c r="I28" s="47" t="n"/>
    </row>
    <row r="29" ht="28.05" customHeight="1" s="42">
      <c r="A29" s="9" t="inlineStr">
        <is>
          <t>成长</t>
        </is>
      </c>
      <c r="B29" s="45" t="inlineStr">
        <is>
          <t>营收、扣非净利、FCF 是否同向</t>
        </is>
      </c>
      <c r="C29" s="65" t="inlineStr">
        <is>
          <t>收入从24,285.3升至27,099.7，股东应占溢利从2,162.0升至2,392.6。自由现金流金额待查，不能说三者同向增长已经核对完成。</t>
        </is>
      </c>
      <c r="D29" s="46" t="n"/>
      <c r="E29" s="47" t="n"/>
      <c r="F29" s="60" t="inlineStr">
        <is>
          <t>利润涨、现金不涨</t>
        </is>
      </c>
      <c r="G29" s="46" t="n"/>
      <c r="H29" s="46" t="n"/>
      <c r="I29" s="47" t="n"/>
    </row>
    <row r="30" ht="28.05" customHeight="1" s="42">
      <c r="A30" s="9" t="inlineStr">
        <is>
          <t>盈利</t>
        </is>
      </c>
      <c r="B30" s="45" t="inlineStr">
        <is>
          <t>毛利率稳或升，费用不失控</t>
        </is>
      </c>
      <c r="C30" s="65" t="inlineStr">
        <is>
          <t>按收入减销售成本和保险服务费用，毛利率从0.163降到0.148。建筑应占经营溢利降4%，物流降13%，不是靠压缩费用做出的增长。</t>
        </is>
      </c>
      <c r="D30" s="46" t="n"/>
      <c r="E30" s="47" t="n"/>
      <c r="F30" s="60" t="inlineStr">
        <is>
          <t>靠费用压缩撑净利</t>
        </is>
      </c>
      <c r="G30" s="46" t="n"/>
      <c r="H30" s="46" t="n"/>
      <c r="I30" s="47" t="n"/>
    </row>
    <row r="31" ht="28.05" customHeight="1" s="42">
      <c r="A31" s="9" t="inlineStr">
        <is>
          <t>回报</t>
        </is>
      </c>
      <c r="B31" s="45" t="inlineStr">
        <is>
          <t>ROIC 是否持续高于资本成本</t>
        </is>
      </c>
      <c r="C31" s="65" t="inlineStr">
        <is>
          <t>近似ROIC为0.057，期末ROE为0.060。债务净额下降，不是靠加杠杆抬ROE。保险浮存金使ROIC和资本成本不宜直接对比，完整周期是否高于WACC待查。</t>
        </is>
      </c>
      <c r="D31" s="46" t="n"/>
      <c r="E31" s="47" t="n"/>
      <c r="F31" s="60" t="inlineStr">
        <is>
          <t>靠加杠杆抬 ROE</t>
        </is>
      </c>
      <c r="G31" s="46" t="n"/>
      <c r="H31" s="46" t="n"/>
      <c r="I31" s="47" t="n"/>
    </row>
    <row r="32" ht="28.05" customHeight="1" s="42">
      <c r="A32" s="9" t="inlineStr">
        <is>
          <t>现金</t>
        </is>
      </c>
      <c r="B32" s="45" t="inlineStr">
        <is>
          <t>现金转化是否稳定</t>
        </is>
      </c>
      <c r="C32" s="65" t="inlineStr">
        <is>
          <t>公告确认经营活动净现金流入，但没有金额。现金转化因此待查。特许经营摊销FY2026为1,195.8，折旧与摊销合计在经调整EBITDA桥里为1,919.8，会计利润会低于现金利润，但缺了现金流量表仍不能定量。</t>
        </is>
      </c>
      <c r="D32" s="46" t="n"/>
      <c r="E32" s="47" t="n"/>
      <c r="F32" s="60" t="inlineStr">
        <is>
          <t>应计利润高、资本化激进</t>
        </is>
      </c>
      <c r="G32" s="46" t="n"/>
      <c r="H32" s="46" t="n"/>
      <c r="I32" s="47" t="n"/>
    </row>
    <row r="33" ht="28.05" customHeight="1" s="42">
      <c r="A33" s="9" t="inlineStr">
        <is>
          <t>资产负债</t>
        </is>
      </c>
      <c r="B33" s="45" t="inlineStr">
        <is>
          <t>短债覆盖、商誉、应收/存货</t>
        </is>
      </c>
      <c r="C33" s="65" t="inlineStr">
        <is>
          <t>现金20,760.7覆盖一年内到期债务约79亿。净负债比率从0.37降到0.28。存货只有28.0。贸易应收从1,853.2降到1,659.6。商誉未单列，待查。保险合约负债93,743.5是负债大头。</t>
        </is>
      </c>
      <c r="D33" s="46" t="n"/>
      <c r="E33" s="47" t="n"/>
      <c r="F33" s="60" t="inlineStr">
        <is>
          <t>商誉大、应收存货异常升</t>
        </is>
      </c>
      <c r="G33" s="46" t="n"/>
      <c r="H33" s="46" t="n"/>
      <c r="I33" s="47" t="n"/>
    </row>
  </sheetData>
  <mergeCells count="17">
    <mergeCell ref="F32:I32"/>
    <mergeCell ref="A25:I25"/>
    <mergeCell ref="C33:E33"/>
    <mergeCell ref="F31:I31"/>
    <mergeCell ref="C28:E28"/>
    <mergeCell ref="A2:I2"/>
    <mergeCell ref="C31:E31"/>
    <mergeCell ref="A1:I1"/>
    <mergeCell ref="F30:I30"/>
    <mergeCell ref="A27:I27"/>
    <mergeCell ref="F29:I29"/>
    <mergeCell ref="A3:I3"/>
    <mergeCell ref="C29:E29"/>
    <mergeCell ref="C30:E30"/>
    <mergeCell ref="F33:I33"/>
    <mergeCell ref="C32:E32"/>
    <mergeCell ref="F28:I28"/>
  </mergeCells>
  <printOptions horizontalCentered="1"/>
  <pageMargins left="0.5" right="0.5" top="0.6" bottom="0.6" header="0.5" footer="0.5"/>
  <pageSetup orientation="landscape" paperSize="9" fitToHeight="0"/>
</worksheet>
</file>

<file path=xl/worksheets/sheet5.xml><?xml version="1.0" encoding="utf-8"?>
<worksheet xmlns="http://schemas.openxmlformats.org/spreadsheetml/2006/main">
  <sheetPr>
    <tabColor rgb="FF2E75B6"/>
    <outlinePr summaryBelow="1" summaryRight="1"/>
    <pageSetUpPr fitToPage="1"/>
  </sheetPr>
  <dimension ref="A1:F67"/>
  <sheetViews>
    <sheetView showGridLines="0" workbookViewId="0">
      <pane ySplit="1" topLeftCell="A2" activePane="bottomLeft" state="frozen"/>
      <selection pane="bottomLeft" activeCell="A1" sqref="A1"/>
    </sheetView>
  </sheetViews>
  <sheetFormatPr baseColWidth="8" defaultRowHeight="13.5"/>
  <cols>
    <col width="22" customWidth="1" style="42" min="1" max="1"/>
    <col width="16" customWidth="1" style="42" min="2" max="3"/>
    <col width="44" customWidth="1" style="42" min="4" max="4"/>
    <col width="18" customWidth="1" style="42" min="5" max="5"/>
    <col width="22" customWidth="1" style="42" min="6" max="6"/>
  </cols>
  <sheetData>
    <row r="1" ht="28.05" customHeight="1" s="42">
      <c r="A1" s="53" t="inlineStr">
        <is>
          <t>质量评分  ·  F / Z / M（体检，不是买卖信号）</t>
        </is>
      </c>
      <c r="B1" s="46" t="n"/>
      <c r="C1" s="46" t="n"/>
      <c r="D1" s="46" t="n"/>
      <c r="E1" s="46" t="n"/>
      <c r="F1" s="47" t="n"/>
    </row>
    <row r="2">
      <c r="A2" s="58">
        <f>"标的："&amp;IF(封面!B5="","（先填封面）",封面!B5)</f>
        <v/>
      </c>
      <c r="B2" s="46" t="n"/>
      <c r="C2" s="46" t="n"/>
      <c r="D2" s="46" t="n"/>
      <c r="E2" s="46" t="n"/>
      <c r="F2" s="47" t="n"/>
    </row>
    <row r="3" ht="36" customHeight="1" s="42">
      <c r="A3" s="49" t="inlineStr">
        <is>
          <t>可从「财务」表抄最近两年，或直接填。空着的项不记分。金融、保险、REITs 不要用原版 Z。高增长公司 M 分数易假阳性。</t>
        </is>
      </c>
    </row>
    <row r="5" ht="22.05" customHeight="1" s="42">
      <c r="A5" s="43" t="inlineStr">
        <is>
          <t>A. 输入（与财务表最近两年对应）</t>
        </is>
      </c>
    </row>
    <row r="6" ht="22.05" customHeight="1" s="42">
      <c r="A6" s="51" t="inlineStr">
        <is>
          <t>项目</t>
        </is>
      </c>
      <c r="B6" s="51" t="inlineStr">
        <is>
          <t>上年 T-1</t>
        </is>
      </c>
      <c r="C6" s="51" t="inlineStr">
        <is>
          <t>本年 T</t>
        </is>
      </c>
      <c r="D6" s="51" t="inlineStr">
        <is>
          <t>说明</t>
        </is>
      </c>
      <c r="E6" s="51" t="inlineStr">
        <is>
          <t>财务表对照</t>
        </is>
      </c>
      <c r="F6" s="47" t="n"/>
    </row>
    <row r="7" ht="15" customHeight="1" s="42">
      <c r="A7" s="9" t="inlineStr">
        <is>
          <t>净利润</t>
        </is>
      </c>
      <c r="B7" s="64" t="n">
        <v>2162</v>
      </c>
      <c r="C7" s="64" t="n">
        <v>2392.6</v>
      </c>
      <c r="D7" s="45" t="inlineStr">
        <is>
          <t>财务!E11 / F11</t>
        </is>
      </c>
      <c r="E7" s="46" t="n"/>
      <c r="F7" s="47" t="n"/>
    </row>
    <row r="8" ht="15" customHeight="1" s="42">
      <c r="A8" s="9" t="inlineStr">
        <is>
          <t>总资产</t>
        </is>
      </c>
      <c r="B8" s="64" t="n">
        <v>172895.6</v>
      </c>
      <c r="C8" s="64" t="n">
        <v>191157.6</v>
      </c>
      <c r="D8" s="45" t="inlineStr">
        <is>
          <t>财务!E17 / F17</t>
        </is>
      </c>
      <c r="E8" s="46" t="n"/>
      <c r="F8" s="47" t="n"/>
    </row>
    <row r="9" ht="15" customHeight="1" s="42">
      <c r="A9" s="9" t="inlineStr">
        <is>
          <t>经营现金流</t>
        </is>
      </c>
      <c r="B9" s="64" t="n"/>
      <c r="C9" s="64" t="n"/>
      <c r="D9" s="45" t="inlineStr">
        <is>
          <t>财务!E12 / F12</t>
        </is>
      </c>
      <c r="E9" s="46" t="n"/>
      <c r="F9" s="47" t="n"/>
    </row>
    <row r="10" ht="15" customHeight="1" s="42">
      <c r="A10" s="9" t="inlineStr">
        <is>
          <t>长期/有息负债</t>
        </is>
      </c>
      <c r="B10" s="64" t="n">
        <v>34861.8</v>
      </c>
      <c r="C10" s="64" t="n">
        <v>32415.2</v>
      </c>
      <c r="D10" s="45" t="inlineStr">
        <is>
          <t>财务!E18 / F18</t>
        </is>
      </c>
      <c r="E10" s="46" t="n"/>
      <c r="F10" s="47" t="n"/>
    </row>
    <row r="11" ht="15" customHeight="1" s="42">
      <c r="A11" s="9" t="inlineStr">
        <is>
          <t>流动资产</t>
        </is>
      </c>
      <c r="B11" s="64" t="n"/>
      <c r="C11" s="64" t="n"/>
      <c r="D11" s="45" t="inlineStr">
        <is>
          <t>资产负债表</t>
        </is>
      </c>
      <c r="E11" s="46" t="n"/>
      <c r="F11" s="47" t="n"/>
    </row>
    <row r="12" ht="15" customHeight="1" s="42">
      <c r="A12" s="9" t="inlineStr">
        <is>
          <t>流动负债</t>
        </is>
      </c>
      <c r="B12" s="64" t="n"/>
      <c r="C12" s="64" t="n"/>
      <c r="D12" s="45" t="inlineStr">
        <is>
          <t>资产负债表</t>
        </is>
      </c>
      <c r="E12" s="46" t="n"/>
      <c r="F12" s="47" t="n"/>
    </row>
    <row r="13" ht="15" customHeight="1" s="42">
      <c r="A13" s="9" t="inlineStr">
        <is>
          <t>股本数量</t>
        </is>
      </c>
      <c r="B13" s="64" t="n">
        <v>4009.8</v>
      </c>
      <c r="C13" s="64" t="n">
        <v>4566.3</v>
      </c>
      <c r="D13" s="45" t="inlineStr">
        <is>
          <t>财务!E24 / F24</t>
        </is>
      </c>
      <c r="E13" s="46" t="n"/>
      <c r="F13" s="47" t="n"/>
    </row>
    <row r="14" ht="15" customHeight="1" s="42">
      <c r="A14" s="9" t="inlineStr">
        <is>
          <t>毛利</t>
        </is>
      </c>
      <c r="B14" s="64" t="n">
        <v>3951.499999999999</v>
      </c>
      <c r="C14" s="64" t="n">
        <v>4019.2</v>
      </c>
      <c r="D14" s="45" t="inlineStr">
        <is>
          <t>财务!E8 / F8</t>
        </is>
      </c>
      <c r="E14" s="46" t="n"/>
      <c r="F14" s="47" t="n"/>
    </row>
    <row r="15" ht="15" customHeight="1" s="42">
      <c r="A15" s="9" t="inlineStr">
        <is>
          <t>营业收入</t>
        </is>
      </c>
      <c r="B15" s="64" t="n">
        <v>24285.3</v>
      </c>
      <c r="C15" s="64" t="n">
        <v>27099.7</v>
      </c>
      <c r="D15" s="45" t="inlineStr">
        <is>
          <t>财务!E7 / F7</t>
        </is>
      </c>
      <c r="E15" s="46" t="n"/>
      <c r="F15" s="47" t="n"/>
    </row>
    <row r="16" ht="15" customHeight="1" s="42">
      <c r="A16" s="9" t="inlineStr">
        <is>
          <t>留存收益</t>
        </is>
      </c>
      <c r="B16" s="64" t="n"/>
      <c r="C16" s="64" t="n"/>
      <c r="D16" s="45" t="inlineStr">
        <is>
          <t>Z 分数用</t>
        </is>
      </c>
      <c r="E16" s="46" t="n"/>
      <c r="F16" s="47" t="n"/>
    </row>
    <row r="17" ht="15" customHeight="1" s="42">
      <c r="A17" s="9" t="inlineStr">
        <is>
          <t>EBIT / 营业利润</t>
        </is>
      </c>
      <c r="B17" s="64" t="n">
        <v>3232.6</v>
      </c>
      <c r="C17" s="64" t="n">
        <v>3731.5</v>
      </c>
      <c r="D17" s="45" t="inlineStr">
        <is>
          <t>Z 分数用</t>
        </is>
      </c>
      <c r="E17" s="46" t="n"/>
      <c r="F17" s="47" t="n"/>
    </row>
    <row r="18" ht="15" customHeight="1" s="42">
      <c r="A18" s="9" t="inlineStr">
        <is>
          <t>总负债</t>
        </is>
      </c>
      <c r="B18" s="64" t="n">
        <v>133013.9</v>
      </c>
      <c r="C18" s="64" t="n">
        <v>149066.2</v>
      </c>
      <c r="D18" s="45" t="inlineStr">
        <is>
          <t>Z / M 用</t>
        </is>
      </c>
      <c r="E18" s="46" t="n"/>
      <c r="F18" s="47" t="n"/>
    </row>
    <row r="19" ht="15" customHeight="1" s="42">
      <c r="A19" s="9" t="inlineStr">
        <is>
          <t>股权市值</t>
        </is>
      </c>
      <c r="B19" s="64" t="n"/>
      <c r="C19" s="64" t="n">
        <v>38356.92000000001</v>
      </c>
      <c r="D19" s="45" t="inlineStr">
        <is>
          <t>现价×股本，Z 的 X4</t>
        </is>
      </c>
      <c r="E19" s="46" t="n"/>
      <c r="F19" s="47" t="n"/>
    </row>
    <row r="20" ht="15" customHeight="1" s="42">
      <c r="A20" s="9" t="inlineStr">
        <is>
          <t>营运资本</t>
        </is>
      </c>
      <c r="B20" s="64" t="n"/>
      <c r="C20" s="64" t="n"/>
      <c r="D20" s="45" t="inlineStr">
        <is>
          <t>留空则用右边自动值</t>
        </is>
      </c>
      <c r="E20" s="79">
        <f>IF(C20&lt;&gt;"",C20,IF(OR(C11="",C12=""),"",C11-C12))</f>
        <v/>
      </c>
      <c r="F20" s="45" t="inlineStr">
        <is>
          <t>本年营运资本(用于Z)</t>
        </is>
      </c>
    </row>
    <row r="21" ht="15" customHeight="1" s="42">
      <c r="A21" s="9" t="inlineStr">
        <is>
          <t>应收账款</t>
        </is>
      </c>
      <c r="B21" s="64" t="n">
        <v>1853.2</v>
      </c>
      <c r="C21" s="64" t="n">
        <v>1659.6</v>
      </c>
      <c r="D21" s="45" t="inlineStr">
        <is>
          <t>M 分数用</t>
        </is>
      </c>
      <c r="E21" s="46" t="n"/>
      <c r="F21" s="47" t="n"/>
    </row>
    <row r="22" ht="15" customHeight="1" s="42">
      <c r="A22" s="9" t="inlineStr">
        <is>
          <t>固定资产净额 PPE</t>
        </is>
      </c>
      <c r="B22" s="64" t="n">
        <v>1226.9</v>
      </c>
      <c r="C22" s="64" t="n">
        <v>1156.7</v>
      </c>
      <c r="D22" s="45" t="inlineStr">
        <is>
          <t>M 分数用</t>
        </is>
      </c>
      <c r="E22" s="46" t="n"/>
      <c r="F22" s="47" t="n"/>
    </row>
    <row r="23" ht="15" customHeight="1" s="42">
      <c r="A23" s="9" t="inlineStr">
        <is>
          <t>折旧</t>
        </is>
      </c>
      <c r="B23" s="64" t="n">
        <v>310</v>
      </c>
      <c r="C23" s="64" t="n">
        <v>338.1</v>
      </c>
      <c r="D23" s="45" t="inlineStr">
        <is>
          <t>M 分数用</t>
        </is>
      </c>
      <c r="E23" s="46" t="n"/>
      <c r="F23" s="47" t="n"/>
    </row>
    <row r="24" ht="15" customHeight="1" s="42">
      <c r="A24" s="9" t="inlineStr">
        <is>
          <t>销售管理费用</t>
        </is>
      </c>
      <c r="B24" s="64" t="n">
        <v>1015.1</v>
      </c>
      <c r="C24" s="64" t="n">
        <v>1134.5</v>
      </c>
      <c r="D24" s="45" t="inlineStr">
        <is>
          <t>M 分数用；没有可留空</t>
        </is>
      </c>
      <c r="E24" s="46" t="n"/>
      <c r="F24" s="47" t="n"/>
    </row>
    <row r="26" ht="22.05" customHeight="1" s="42">
      <c r="A26" s="43" t="inlineStr">
        <is>
          <t>一键带入财务表最近两年（可覆盖上面黄格：把下面公式复制到 B7:C15）</t>
        </is>
      </c>
    </row>
    <row r="27">
      <c r="A27" s="45" t="inlineStr">
        <is>
          <t>提示</t>
        </is>
      </c>
      <c r="B27" s="45" t="inlineStr">
        <is>
          <t>不想手工抄：把 B7 改成 =财务!E11，C7 改成 =财务!F11，其余科目同样从财务表 E/F 列引用。改完字体会变绿，这是正常的。</t>
        </is>
      </c>
      <c r="C27" s="46" t="n"/>
      <c r="D27" s="46" t="n"/>
      <c r="E27" s="46" t="n"/>
      <c r="F27" s="47" t="n"/>
    </row>
    <row r="29" ht="22.05" customHeight="1" s="42">
      <c r="A29" s="43" t="inlineStr">
        <is>
          <t>B. Piotroski F-Score（9 项，变好=1）</t>
        </is>
      </c>
    </row>
    <row r="30" ht="22.05" customHeight="1" s="42">
      <c r="A30" s="51" t="inlineStr">
        <is>
          <t>代码</t>
        </is>
      </c>
      <c r="B30" s="51" t="inlineStr">
        <is>
          <t>条件</t>
        </is>
      </c>
      <c r="C30" s="51" t="inlineStr">
        <is>
          <t>得分</t>
        </is>
      </c>
      <c r="D30" s="51" t="inlineStr">
        <is>
          <t>计算说明</t>
        </is>
      </c>
      <c r="E30" s="46" t="n"/>
      <c r="F30" s="47" t="n"/>
    </row>
    <row r="31" ht="15" customHeight="1" s="42">
      <c r="A31" s="2" t="inlineStr">
        <is>
          <t>F1</t>
        </is>
      </c>
      <c r="B31" s="55" t="inlineStr">
        <is>
          <t>ROA &gt; 0</t>
        </is>
      </c>
      <c r="C31" s="23">
        <f>IF(OR(C7="",C8="",C8=0),"",IF(C7/C8&gt;0,1,0))</f>
        <v/>
      </c>
      <c r="D31" s="45" t="inlineStr">
        <is>
          <t>本年净利润/总资产&gt;0</t>
        </is>
      </c>
      <c r="E31" s="46" t="n"/>
      <c r="F31" s="47" t="n"/>
    </row>
    <row r="32" ht="15" customHeight="1" s="42">
      <c r="A32" s="2" t="inlineStr">
        <is>
          <t>F2</t>
        </is>
      </c>
      <c r="B32" s="55" t="inlineStr">
        <is>
          <t>CFO &gt; 0</t>
        </is>
      </c>
      <c r="C32" s="23">
        <f>IF(C9="","",IF(C9&gt;0,1,0))</f>
        <v/>
      </c>
      <c r="D32" s="45" t="inlineStr">
        <is>
          <t>经营现金流&gt;0</t>
        </is>
      </c>
      <c r="E32" s="46" t="n"/>
      <c r="F32" s="47" t="n"/>
    </row>
    <row r="33" ht="15" customHeight="1" s="42">
      <c r="A33" s="2" t="inlineStr">
        <is>
          <t>F3</t>
        </is>
      </c>
      <c r="B33" s="55" t="inlineStr">
        <is>
          <t>ΔROA &gt; 0</t>
        </is>
      </c>
      <c r="C33" s="23">
        <f>IF(OR(B7="",B8="",B8=0,C7="",C8="",C8=0),"",IF(C7/C8&gt;B7/B8,1,0))</f>
        <v/>
      </c>
      <c r="D33" s="45" t="inlineStr">
        <is>
          <t>ROA 改善</t>
        </is>
      </c>
      <c r="E33" s="46" t="n"/>
      <c r="F33" s="47" t="n"/>
    </row>
    <row r="34" ht="15" customHeight="1" s="42">
      <c r="A34" s="2" t="inlineStr">
        <is>
          <t>F4</t>
        </is>
      </c>
      <c r="B34" s="55" t="inlineStr">
        <is>
          <t>CFO &gt; 净利润</t>
        </is>
      </c>
      <c r="C34" s="23">
        <f>IF(OR(C9="",C7=""),"",IF(C9&gt;C7,1,0))</f>
        <v/>
      </c>
      <c r="D34" s="45" t="inlineStr">
        <is>
          <t>应计为负（现金质量）</t>
        </is>
      </c>
      <c r="E34" s="46" t="n"/>
      <c r="F34" s="47" t="n"/>
    </row>
    <row r="35" ht="15" customHeight="1" s="42">
      <c r="A35" s="2" t="inlineStr">
        <is>
          <t>F5</t>
        </is>
      </c>
      <c r="B35" s="55" t="inlineStr">
        <is>
          <t>杠杆下降</t>
        </is>
      </c>
      <c r="C35" s="23">
        <f>IF(OR(B10="",B8="",B8=0,C10="",C8="",C8=0),"",IF(C10/C8&lt;B10/B8,1,0))</f>
        <v/>
      </c>
      <c r="D35" s="45" t="inlineStr">
        <is>
          <t>有息负债/资产下降</t>
        </is>
      </c>
      <c r="E35" s="46" t="n"/>
      <c r="F35" s="47" t="n"/>
    </row>
    <row r="36" ht="15" customHeight="1" s="42">
      <c r="A36" s="2" t="inlineStr">
        <is>
          <t>F6</t>
        </is>
      </c>
      <c r="B36" s="55" t="inlineStr">
        <is>
          <t>流动比率上升</t>
        </is>
      </c>
      <c r="C36" s="23">
        <f>IF(OR(B11="",B12="",B12=0,C11="",C12="",C12=0),"",IF(C11/C12&gt;B11/B12,1,0))</f>
        <v/>
      </c>
      <c r="D36" s="45" t="inlineStr">
        <is>
          <t>CA/CL 改善</t>
        </is>
      </c>
      <c r="E36" s="46" t="n"/>
      <c r="F36" s="47" t="n"/>
    </row>
    <row r="37" ht="15" customHeight="1" s="42">
      <c r="A37" s="2" t="inlineStr">
        <is>
          <t>F7</t>
        </is>
      </c>
      <c r="B37" s="55" t="inlineStr">
        <is>
          <t>未增发</t>
        </is>
      </c>
      <c r="C37" s="23">
        <f>IF(OR(B13="",C13=""),"",IF(C13&lt;=B13,1,0))</f>
        <v/>
      </c>
      <c r="D37" s="45" t="inlineStr">
        <is>
          <t>股本未增加</t>
        </is>
      </c>
      <c r="E37" s="46" t="n"/>
      <c r="F37" s="47" t="n"/>
    </row>
    <row r="38" ht="15" customHeight="1" s="42">
      <c r="A38" s="2" t="inlineStr">
        <is>
          <t>F8</t>
        </is>
      </c>
      <c r="B38" s="55" t="inlineStr">
        <is>
          <t>毛利率改善</t>
        </is>
      </c>
      <c r="C38" s="23">
        <f>IF(OR(B14="",B15="",B15=0,C14="",C15="",C15=0),"",IF(C14/C15&gt;B14/B15,1,0))</f>
        <v/>
      </c>
      <c r="D38" s="45" t="inlineStr">
        <is>
          <t>毛利/收入上升</t>
        </is>
      </c>
      <c r="E38" s="46" t="n"/>
      <c r="F38" s="47" t="n"/>
    </row>
    <row r="39" ht="15" customHeight="1" s="42">
      <c r="A39" s="2" t="inlineStr">
        <is>
          <t>F9</t>
        </is>
      </c>
      <c r="B39" s="55" t="inlineStr">
        <is>
          <t>周转改善</t>
        </is>
      </c>
      <c r="C39" s="23">
        <f>IF(OR(B15="",B8="",B8=0,C15="",C8="",C8=0),"",IF(C15/C8&gt;B15/B8,1,0))</f>
        <v/>
      </c>
      <c r="D39" s="45" t="inlineStr">
        <is>
          <t>收入/资产上升</t>
        </is>
      </c>
      <c r="E39" s="46" t="n"/>
      <c r="F39" s="47" t="n"/>
    </row>
    <row r="40" ht="15" customHeight="1" s="42">
      <c r="A40" s="9" t="inlineStr">
        <is>
          <t>F-Score 合计</t>
        </is>
      </c>
      <c r="B40" s="23">
        <f>SUM(C31:C39)</f>
        <v/>
      </c>
      <c r="C40" s="24">
        <f>IF(COUNT(C31:C39)&lt;9,"缺项，仅供参考",IF(B40&gt;=8,"强",IF(B40&lt;=3,"弱","中")))</f>
        <v/>
      </c>
      <c r="D40" s="45" t="inlineStr">
        <is>
          <t>8–9 强；0–3 弱。只看趋势质量，不看贵贱。</t>
        </is>
      </c>
      <c r="E40" s="46" t="n"/>
      <c r="F40" s="47" t="n"/>
    </row>
    <row r="42" ht="22.05" customHeight="1" s="42">
      <c r="A42" s="43" t="inlineStr">
        <is>
          <t>C. Altman Z-Score（非金融）</t>
        </is>
      </c>
    </row>
    <row r="43" ht="15" customHeight="1" s="42">
      <c r="A43" s="9" t="inlineStr">
        <is>
          <t>模型</t>
        </is>
      </c>
      <c r="B43" s="48" t="inlineStr">
        <is>
          <t>非制造/新兴</t>
        </is>
      </c>
      <c r="C43" s="45" t="inlineStr">
        <is>
          <t>原版：Z=1.2X1+1.4X2+3.3X3+0.6X4+1.0X5。非制造：6.56X1+3.26X2+6.72X3+1.05X4。</t>
        </is>
      </c>
      <c r="D43" s="46" t="n"/>
      <c r="E43" s="46" t="n"/>
      <c r="F43" s="47" t="n"/>
    </row>
    <row r="44" ht="15" customHeight="1" s="42">
      <c r="A44" s="55" t="inlineStr">
        <is>
          <t>X1 营运资本/总资产</t>
        </is>
      </c>
      <c r="B44" s="32">
        <f>IF(OR(E20="",C8="",C8=0),"",E20/C8)</f>
        <v/>
      </c>
    </row>
    <row r="45" ht="15" customHeight="1" s="42">
      <c r="A45" s="55" t="inlineStr">
        <is>
          <t>X2 留存收益/总资产</t>
        </is>
      </c>
      <c r="B45" s="32">
        <f>IF(OR(C16="",C8="",C8=0),"",C16/C8)</f>
        <v/>
      </c>
    </row>
    <row r="46" ht="15" customHeight="1" s="42">
      <c r="A46" s="55" t="inlineStr">
        <is>
          <t>X3 EBIT/总资产</t>
        </is>
      </c>
      <c r="B46" s="32">
        <f>IF(OR(C17="",C8="",C8=0),"",C17/C8)</f>
        <v/>
      </c>
    </row>
    <row r="47" ht="15" customHeight="1" s="42">
      <c r="A47" s="55" t="inlineStr">
        <is>
          <t>X4 市值/总负债</t>
        </is>
      </c>
      <c r="B47" s="32">
        <f>IF(OR(C19="",C18="",C18=0),"",C19/C18)</f>
        <v/>
      </c>
    </row>
    <row r="48" ht="15" customHeight="1" s="42">
      <c r="A48" s="55" t="inlineStr">
        <is>
          <t>X5 营收/总资产</t>
        </is>
      </c>
      <c r="B48" s="32">
        <f>IF(OR(C15="",C8="",C8=0),"",C15/C8)</f>
        <v/>
      </c>
    </row>
    <row r="49" ht="15" customHeight="1" s="42">
      <c r="A49" s="9" t="inlineStr">
        <is>
          <t>Z-Score</t>
        </is>
      </c>
      <c r="B49" s="32">
        <f>IF(B43="非制造/新兴",IF(COUNT(B44:B47)&lt;4,"",6.56*B44+3.26*B45+6.72*B46+1.05*B47),IF(COUNT(B44:B48)&lt;5,"",1.2*B44+1.4*B45+3.3*B46+0.6*B47+1*B48))</f>
        <v/>
      </c>
      <c r="C49" s="24">
        <f>IF(B49="","",IF(B43="非制造/新兴",IF(B49&gt;2.6,"较安全",IF(B49&lt;1.1,"困境区","灰区")),IF(B49&gt;2.99,"较安全",IF(B49&lt;1.81,"困境区","灰区"))))</f>
        <v/>
      </c>
      <c r="D49" s="45" t="inlineStr">
        <is>
          <t>银行/保险/REITs 不要用。灰区需要看利息覆盖和短债。</t>
        </is>
      </c>
      <c r="E49" s="46" t="n"/>
      <c r="F49" s="47" t="n"/>
    </row>
    <row r="51" ht="22.05" customHeight="1" s="42">
      <c r="A51" s="43" t="inlineStr">
        <is>
          <t>D. Beneish M-Score</t>
        </is>
      </c>
    </row>
    <row r="52" ht="22.05" customHeight="1" s="42">
      <c r="A52" s="51" t="inlineStr">
        <is>
          <t>指标</t>
        </is>
      </c>
      <c r="B52" s="51" t="inlineStr">
        <is>
          <t>公式</t>
        </is>
      </c>
      <c r="C52" s="51" t="inlineStr">
        <is>
          <t>数值</t>
        </is>
      </c>
      <c r="D52" s="51" t="inlineStr">
        <is>
          <t>含义</t>
        </is>
      </c>
      <c r="E52" s="46" t="n"/>
      <c r="F52" s="47" t="n"/>
    </row>
    <row r="53" ht="20" customHeight="1" s="42">
      <c r="A53" s="2" t="inlineStr">
        <is>
          <t>DSRI</t>
        </is>
      </c>
      <c r="B53" s="80">
        <f>IF(OR(B21="",B15="",B15=0,C21="",C15="",C15=0),"",(C21/C15)/(B21/B15))</f>
        <v/>
      </c>
      <c r="C53" s="45" t="inlineStr">
        <is>
          <t>应收/收入 是否异常上升</t>
        </is>
      </c>
      <c r="D53" s="46" t="n"/>
      <c r="E53" s="46" t="n"/>
      <c r="F53" s="47" t="n"/>
    </row>
    <row r="54" ht="20" customHeight="1" s="42">
      <c r="A54" s="2" t="inlineStr">
        <is>
          <t>GMI</t>
        </is>
      </c>
      <c r="B54" s="80">
        <f>IF(OR(B14="",B15="",B15=0,C14="",C15="",C15=0),"",(B14/B15)/(C14/C15))</f>
        <v/>
      </c>
      <c r="C54" s="45" t="inlineStr">
        <is>
          <t>毛利率恶化&gt;1</t>
        </is>
      </c>
      <c r="D54" s="46" t="n"/>
      <c r="E54" s="46" t="n"/>
      <c r="F54" s="47" t="n"/>
    </row>
    <row r="55" ht="20" customHeight="1" s="42">
      <c r="A55" s="2" t="inlineStr">
        <is>
          <t>AQI</t>
        </is>
      </c>
      <c r="B55" s="80">
        <f>IF(COUNTA(B11,B22,B8,C11,C22,C8)&lt;6,"",IF(OR(B8=0,C8=0),"",IF((1-(B11+B22)/B8)=0,"",(1-(C11+C22)/C8)/(1-(B11+B22)/B8))))</f>
        <v/>
      </c>
      <c r="C55" s="45" t="inlineStr">
        <is>
          <t>资产质量下降</t>
        </is>
      </c>
      <c r="D55" s="46" t="n"/>
      <c r="E55" s="46" t="n"/>
      <c r="F55" s="47" t="n"/>
    </row>
    <row r="56" ht="20" customHeight="1" s="42">
      <c r="A56" s="2" t="inlineStr">
        <is>
          <t>SGI</t>
        </is>
      </c>
      <c r="B56" s="80">
        <f>IF(OR(B15="",B15=0,C15=""),"",C15/B15)</f>
        <v/>
      </c>
      <c r="C56" s="45" t="inlineStr">
        <is>
          <t>收入增长</t>
        </is>
      </c>
      <c r="D56" s="46" t="n"/>
      <c r="E56" s="46" t="n"/>
      <c r="F56" s="47" t="n"/>
    </row>
    <row r="57" ht="20" customHeight="1" s="42">
      <c r="A57" s="2" t="inlineStr">
        <is>
          <t>DEPI</t>
        </is>
      </c>
      <c r="B57" s="80">
        <f>IF(OR(B23="",B22="",C23="",C22="",(C23+C22)=0,(B23+B22)=0),"",(B23/(B23+B22))/(C23/(C23+C22)))</f>
        <v/>
      </c>
      <c r="C57" s="45" t="inlineStr">
        <is>
          <t>折旧变慢&gt;1</t>
        </is>
      </c>
      <c r="D57" s="46" t="n"/>
      <c r="E57" s="46" t="n"/>
      <c r="F57" s="47" t="n"/>
    </row>
    <row r="58" ht="20" customHeight="1" s="42">
      <c r="A58" s="2" t="inlineStr">
        <is>
          <t>SGAI</t>
        </is>
      </c>
      <c r="B58" s="80">
        <f>IF(OR(B24="",B15="",B15=0,C24="",C15="",C15=0),"",(C24/C15)/(B24/B15))</f>
        <v/>
      </c>
      <c r="C58" s="45" t="inlineStr">
        <is>
          <t>费用率上升</t>
        </is>
      </c>
      <c r="D58" s="46" t="n"/>
      <c r="E58" s="46" t="n"/>
      <c r="F58" s="47" t="n"/>
    </row>
    <row r="59" ht="20" customHeight="1" s="42">
      <c r="A59" s="2" t="inlineStr">
        <is>
          <t>TATA</t>
        </is>
      </c>
      <c r="B59" s="80">
        <f>IF(OR(C7="",C9="",C8="",C8=0),"",(C7-C9)/C8)</f>
        <v/>
      </c>
      <c r="C59" s="45" t="inlineStr">
        <is>
          <t>应计利润/资产</t>
        </is>
      </c>
      <c r="D59" s="46" t="n"/>
      <c r="E59" s="46" t="n"/>
      <c r="F59" s="47" t="n"/>
    </row>
    <row r="60" ht="20" customHeight="1" s="42">
      <c r="A60" s="2" t="inlineStr">
        <is>
          <t>LVGI</t>
        </is>
      </c>
      <c r="B60" s="80">
        <f>IF(OR(B18="",B8="",B8=0,C18="",C8="",C8=0),"",(C18/C8)/(B18/B8))</f>
        <v/>
      </c>
      <c r="C60" s="45" t="inlineStr">
        <is>
          <t>杠杆上升</t>
        </is>
      </c>
      <c r="D60" s="46" t="n"/>
      <c r="E60" s="46" t="n"/>
      <c r="F60" s="47" t="n"/>
    </row>
    <row r="62" ht="15" customHeight="1" s="42">
      <c r="A62" s="9" t="inlineStr">
        <is>
          <t>M-Score</t>
        </is>
      </c>
      <c r="B62" s="32">
        <f>IF(COUNT(B53:B60)&lt;6,"",-4.84+0.92*IF(B53="",0,B53)+0.528*IF(B54="",0,B54)+0.404*IF(B55="",0,B55)+0.892*IF(B56="",0,B56)+0.115*IF(B57="",0,B57)-0.172*IF(B58="",0,B58)+4.679*IF(B59="",0,B59)-0.327*IF(B60="",0,B60))</f>
        <v/>
      </c>
      <c r="C62" s="24">
        <f>IF(B62="","缺项",IF(B62&gt;-1.78,"警惕：疑似盈余操纵","未触发阈值"))</f>
        <v/>
      </c>
      <c r="D62" s="45" t="inlineStr">
        <is>
          <t>经典阈值 M &gt; -1.78。高增长易假阳性；安然也曾漏报，不能单靠它。</t>
        </is>
      </c>
      <c r="E62" s="46" t="n"/>
      <c r="F62" s="47" t="n"/>
    </row>
    <row r="64" ht="22.05" customHeight="1" s="42">
      <c r="A64" s="43" t="inlineStr">
        <is>
          <t>给封面用的输出锚点（勿改）</t>
        </is>
      </c>
    </row>
    <row r="65" ht="15" customHeight="1" s="42">
      <c r="A65" s="34" t="inlineStr">
        <is>
          <t>F_SCORE</t>
        </is>
      </c>
      <c r="B65" s="15">
        <f>B40</f>
        <v/>
      </c>
    </row>
    <row r="66" ht="15" customHeight="1" s="42">
      <c r="A66" s="34" t="inlineStr">
        <is>
          <t>Z_SCORE</t>
        </is>
      </c>
      <c r="B66" s="16">
        <f>B49</f>
        <v/>
      </c>
    </row>
    <row r="67" ht="15" customHeight="1" s="42">
      <c r="A67" s="34" t="inlineStr">
        <is>
          <t>M_SCORE</t>
        </is>
      </c>
      <c r="B67" s="16">
        <f>B62</f>
        <v/>
      </c>
    </row>
  </sheetData>
  <mergeCells count="51">
    <mergeCell ref="D13:F13"/>
    <mergeCell ref="D11:F11"/>
    <mergeCell ref="D32:F32"/>
    <mergeCell ref="D17:F17"/>
    <mergeCell ref="D7:F7"/>
    <mergeCell ref="A26:F26"/>
    <mergeCell ref="A3:F3"/>
    <mergeCell ref="C57:F57"/>
    <mergeCell ref="D16:F16"/>
    <mergeCell ref="B27:F27"/>
    <mergeCell ref="A2:F2"/>
    <mergeCell ref="C53:F53"/>
    <mergeCell ref="A42:F42"/>
    <mergeCell ref="D37:F37"/>
    <mergeCell ref="A5:F5"/>
    <mergeCell ref="D62:F62"/>
    <mergeCell ref="D12:F12"/>
    <mergeCell ref="D18:F18"/>
    <mergeCell ref="D9:F9"/>
    <mergeCell ref="D30:F30"/>
    <mergeCell ref="D39:F39"/>
    <mergeCell ref="C58:F58"/>
    <mergeCell ref="D15:F15"/>
    <mergeCell ref="A29:F29"/>
    <mergeCell ref="D33:F33"/>
    <mergeCell ref="D8:F8"/>
    <mergeCell ref="D24:F24"/>
    <mergeCell ref="D38:F38"/>
    <mergeCell ref="D14:F14"/>
    <mergeCell ref="E6:F6"/>
    <mergeCell ref="D23:F23"/>
    <mergeCell ref="D35:F35"/>
    <mergeCell ref="C54:F54"/>
    <mergeCell ref="C55:F55"/>
    <mergeCell ref="A64:F64"/>
    <mergeCell ref="D34:F34"/>
    <mergeCell ref="D10:F10"/>
    <mergeCell ref="A51:F51"/>
    <mergeCell ref="D19:F19"/>
    <mergeCell ref="C56:F56"/>
    <mergeCell ref="D31:F31"/>
    <mergeCell ref="C43:F43"/>
    <mergeCell ref="A1:F1"/>
    <mergeCell ref="D22:F22"/>
    <mergeCell ref="D40:F40"/>
    <mergeCell ref="D36:F36"/>
    <mergeCell ref="C59:F59"/>
    <mergeCell ref="D52:F52"/>
    <mergeCell ref="D21:F21"/>
    <mergeCell ref="C60:F60"/>
    <mergeCell ref="D49:F49"/>
  </mergeCells>
  <dataValidations count="1">
    <dataValidation sqref="B43" showDropDown="0" showInputMessage="0" showErrorMessage="0" allowBlank="1" errorTitle="无效输入" error="请从下拉列表选择" promptTitle="填写" prompt="从列表选择" type="list">
      <formula1>"原版制造业,非制造/新兴"</formula1>
    </dataValidation>
  </dataValidations>
  <printOptions horizontalCentered="1"/>
  <pageMargins left="0.5" right="0.5" top="0.6" bottom="0.6" header="0.5" footer="0.5"/>
  <pageSetup orientation="portrait" paperSize="9" fitToHeight="0"/>
</worksheet>
</file>

<file path=xl/worksheets/sheet6.xml><?xml version="1.0" encoding="utf-8"?>
<worksheet xmlns="http://schemas.openxmlformats.org/spreadsheetml/2006/main">
  <sheetPr>
    <tabColor rgb="FF7030A0"/>
    <outlinePr summaryBelow="1" summaryRight="1"/>
    <pageSetUpPr fitToPage="1"/>
  </sheetPr>
  <dimension ref="A1:F41"/>
  <sheetViews>
    <sheetView showGridLines="0" workbookViewId="0">
      <pane ySplit="1" topLeftCell="A2" activePane="bottomLeft" state="frozen"/>
      <selection pane="bottomLeft" activeCell="A1" sqref="A1"/>
    </sheetView>
  </sheetViews>
  <sheetFormatPr baseColWidth="8" defaultRowHeight="13.5"/>
  <cols>
    <col width="18" customWidth="1" style="42" min="1" max="1"/>
    <col width="16" customWidth="1" style="42" min="2" max="5"/>
    <col width="28" customWidth="1" style="42" min="6" max="6"/>
  </cols>
  <sheetData>
    <row r="1" ht="28.05" customHeight="1" s="42">
      <c r="A1" s="53" t="inlineStr">
        <is>
          <t>护城河与估值  ·  给区间，不给神预测</t>
        </is>
      </c>
      <c r="B1" s="46" t="n"/>
      <c r="C1" s="46" t="n"/>
      <c r="D1" s="46" t="n"/>
      <c r="E1" s="46" t="n"/>
      <c r="F1" s="47" t="n"/>
    </row>
    <row r="2">
      <c r="A2" s="58">
        <f>"标的："&amp;IF(封面!B5="","（先填封面）",封面!B5&amp;"  现价 "&amp;TEXT(封面!B9,"#,##0.00")&amp;封面!B10)</f>
        <v/>
      </c>
      <c r="B2" s="46" t="n"/>
      <c r="C2" s="46" t="n"/>
      <c r="D2" s="46" t="n"/>
      <c r="E2" s="46" t="n"/>
      <c r="F2" s="47" t="n"/>
    </row>
    <row r="3" ht="36" customHeight="1" s="42">
      <c r="A3" s="49" t="inlineStr">
        <is>
          <t>相对估值看分位和同行；绝对估值用三情景。黄格填假设。隐含价格默认 = 情景EPS × 情景PE，也可直接覆盖「隐含价格」。</t>
        </is>
      </c>
    </row>
    <row r="5" ht="22.05" customHeight="1" s="42">
      <c r="A5" s="43" t="inlineStr">
        <is>
          <t>A. 护城河（Morningstar 五源，可多选）</t>
        </is>
      </c>
    </row>
    <row r="6" ht="22.05" customHeight="1" s="42">
      <c r="A6" s="51" t="inlineStr">
        <is>
          <t>来源</t>
        </is>
      </c>
      <c r="B6" s="51" t="inlineStr">
        <is>
          <t>有/无/弱</t>
        </is>
      </c>
      <c r="C6" s="51" t="inlineStr">
        <is>
          <t>证据（财务或业务）</t>
        </is>
      </c>
      <c r="D6" s="47" t="n"/>
      <c r="E6" s="51" t="n"/>
      <c r="F6" s="47" t="n"/>
    </row>
    <row r="7" ht="24" customHeight="1" s="42">
      <c r="A7" s="9" t="inlineStr">
        <is>
          <t>无形资产（品牌/专利/牌照）</t>
        </is>
      </c>
      <c r="B7" s="48" t="inlineStr">
        <is>
          <t>有</t>
        </is>
      </c>
      <c r="C7" s="65" t="inlineStr">
        <is>
          <t>收费公路特许经营、保险牌照和会展场馆是牌照与资产，不是可无限复制的品牌溢价。毛利率FY2026为0.148。</t>
        </is>
      </c>
      <c r="D7" s="47" t="n"/>
      <c r="E7" s="45" t="inlineStr">
        <is>
          <t>溢价能否维持、续期/诉讼</t>
        </is>
      </c>
      <c r="F7" s="47" t="n"/>
    </row>
    <row r="8" ht="24" customHeight="1" s="42">
      <c r="A8" s="9" t="inlineStr">
        <is>
          <t>转换成本</t>
        </is>
      </c>
      <c r="B8" s="48" t="inlineStr">
        <is>
          <t>弱</t>
        </is>
      </c>
      <c r="C8" s="65" t="inlineStr">
        <is>
          <t>道路有区位，保险有续保惯性，但物流出租率和建造合约都可以换对手。没有可靠的全集团续约率。</t>
        </is>
      </c>
      <c r="D8" s="47" t="n"/>
      <c r="E8" s="45" t="inlineStr">
        <is>
          <t>续约率、churn、客户集中度</t>
        </is>
      </c>
      <c r="F8" s="47" t="n"/>
    </row>
    <row r="9" ht="24" customHeight="1" s="42">
      <c r="A9" s="9" t="inlineStr">
        <is>
          <t>网络效应</t>
        </is>
      </c>
      <c r="B9" s="48" t="inlineStr">
        <is>
          <t>无</t>
        </is>
      </c>
      <c r="C9" s="41" t="inlineStr">
        <is>
          <t>道路、建造和物流不是双边网络。保险分销在扩大，但还不是网络效应。</t>
        </is>
      </c>
      <c r="D9" s="47" t="n"/>
      <c r="E9" s="45" t="inlineStr">
        <is>
          <t>双边增长是否还在加速</t>
        </is>
      </c>
      <c r="F9" s="47" t="n"/>
    </row>
    <row r="10" ht="24" customHeight="1" s="42">
      <c r="A10" s="9" t="inlineStr">
        <is>
          <t>成本优势</t>
        </is>
      </c>
      <c r="B10" s="48" t="inlineStr">
        <is>
          <t>弱</t>
        </is>
      </c>
      <c r="C10" s="41" t="inlineStr">
        <is>
          <t>平均借贷成本约4.1%，与上年相同。毛利率下降，没有扩大的成本优势。</t>
        </is>
      </c>
      <c r="D10" s="47" t="n"/>
      <c r="E10" s="45" t="inlineStr">
        <is>
          <t>单位成本 vs 同行、产能利用率</t>
        </is>
      </c>
      <c r="F10" s="47" t="n"/>
    </row>
    <row r="11" ht="24" customHeight="1" s="42">
      <c r="A11" s="9" t="inlineStr">
        <is>
          <t>有效规模（利基）</t>
        </is>
      </c>
      <c r="B11" s="48" t="inlineStr">
        <is>
          <t>有</t>
        </is>
      </c>
      <c r="C11" s="41" t="inlineStr">
        <is>
          <t>区域收费公路和香港建造合约是有效规模，新进入者要先拿到特许经营或政府合约。</t>
        </is>
      </c>
      <c r="D11" s="47" t="n"/>
      <c r="E11" s="45" t="inlineStr">
        <is>
          <t>新进入者是否长期亏钱</t>
        </is>
      </c>
      <c r="F11" s="47" t="n"/>
    </row>
    <row r="12" ht="14.65" customHeight="1" s="42">
      <c r="A12" s="9" t="inlineStr">
        <is>
          <t>定量锚</t>
        </is>
      </c>
      <c r="B12" s="65" t="inlineStr">
        <is>
          <t>近似ROIC 0.057。再投资去向是物流物业和数据中心权益，不是已证实的高回报扩产。是否高于WACC待查。</t>
        </is>
      </c>
      <c r="C12" s="46" t="n"/>
      <c r="D12" s="46" t="n"/>
      <c r="E12" s="46" t="n"/>
      <c r="F12" s="47" t="n"/>
    </row>
    <row r="14" ht="22.05" customHeight="1" s="42">
      <c r="A14" s="43" t="inlineStr">
        <is>
          <t>B. 相对估值</t>
        </is>
      </c>
    </row>
    <row r="15" ht="22.05" customHeight="1" s="42">
      <c r="A15" s="51" t="inlineStr">
        <is>
          <t>倍数</t>
        </is>
      </c>
      <c r="B15" s="51" t="inlineStr">
        <is>
          <t>当前</t>
        </is>
      </c>
      <c r="C15" s="51" t="inlineStr">
        <is>
          <t>自身 5 年中位</t>
        </is>
      </c>
      <c r="D15" s="51" t="inlineStr">
        <is>
          <t>同行中位</t>
        </is>
      </c>
      <c r="E15" s="51" t="inlineStr">
        <is>
          <t>分位含义</t>
        </is>
      </c>
      <c r="F15" s="51" t="inlineStr">
        <is>
          <t>更适合</t>
        </is>
      </c>
    </row>
    <row r="16" ht="15" customHeight="1" s="42">
      <c r="A16" s="9" t="inlineStr">
        <is>
          <t>PE</t>
        </is>
      </c>
      <c r="B16" s="35" t="n">
        <v>15.84905660377358</v>
      </c>
      <c r="C16" s="35" t="n"/>
      <c r="D16" s="35" t="n"/>
      <c r="E16" s="24">
        <f>IF(OR(B16="",C16=""),"",IF(B16&gt;C16,"高于自身中位","不高于自身中位"))</f>
        <v/>
      </c>
      <c r="F16" s="45" t="inlineStr">
        <is>
          <t>成长股、盈利稳定</t>
        </is>
      </c>
    </row>
    <row r="17" ht="15" customHeight="1" s="42">
      <c r="A17" s="9" t="inlineStr">
        <is>
          <t>PB</t>
        </is>
      </c>
      <c r="B17" s="35" t="n">
        <v>0.9657362693804793</v>
      </c>
      <c r="C17" s="35" t="n"/>
      <c r="D17" s="35" t="n"/>
      <c r="E17" s="24">
        <f>IF(OR(B17="",C17=""),"",IF(B17&gt;C17,"高于自身中位","不高于自身中位"))</f>
        <v/>
      </c>
      <c r="F17" s="45" t="inlineStr">
        <is>
          <t>银行、周期、重资产</t>
        </is>
      </c>
    </row>
    <row r="18" ht="15" customHeight="1" s="42">
      <c r="A18" s="9" t="inlineStr">
        <is>
          <t>PEG</t>
        </is>
      </c>
      <c r="B18" s="35" t="n"/>
      <c r="C18" s="35" t="n"/>
      <c r="D18" s="35" t="n"/>
      <c r="E18" s="24">
        <f>IF(OR(B18="",C18=""),"",IF(B18&gt;C18,"高于自身中位","不高于自身中位"))</f>
        <v/>
      </c>
      <c r="F18" s="45" t="inlineStr">
        <is>
          <t>高增长</t>
        </is>
      </c>
    </row>
    <row r="19" ht="15" customHeight="1" s="42">
      <c r="A19" s="9" t="inlineStr">
        <is>
          <t>EV/EBITDA</t>
        </is>
      </c>
      <c r="B19" s="35" t="n"/>
      <c r="C19" s="35" t="n"/>
      <c r="D19" s="35" t="n"/>
      <c r="E19" s="24">
        <f>IF(OR(B19="",C19=""),"",IF(B19&gt;C19,"高于自身中位","不高于自身中位"))</f>
        <v/>
      </c>
      <c r="F19" s="45" t="inlineStr">
        <is>
          <t>资本密集、杠杆不同的同行</t>
        </is>
      </c>
    </row>
    <row r="20" ht="15" customHeight="1" s="42">
      <c r="A20" s="9" t="inlineStr">
        <is>
          <t>EV/Sales</t>
        </is>
      </c>
      <c r="B20" s="35" t="n"/>
      <c r="C20" s="35" t="n"/>
      <c r="D20" s="35" t="n"/>
      <c r="E20" s="24">
        <f>IF(OR(B20="",C20=""),"",IF(B20&gt;C20,"高于自身中位","不高于自身中位"))</f>
        <v/>
      </c>
      <c r="F20" s="45" t="inlineStr">
        <is>
          <t>尚未稳定盈利</t>
        </is>
      </c>
    </row>
    <row r="21" ht="15" customHeight="1" s="42">
      <c r="A21" s="9" t="inlineStr">
        <is>
          <t>FCF Yield</t>
        </is>
      </c>
      <c r="B21" s="35" t="n"/>
      <c r="C21" s="35" t="n"/>
      <c r="D21" s="35" t="n"/>
      <c r="E21" s="24">
        <f>IF(OR(B21="",C21=""),"",IF(B21&gt;C21,"高于自身中位","不高于自身中位"))</f>
        <v/>
      </c>
      <c r="F21" s="45" t="inlineStr">
        <is>
          <t>自由现金流可见的公司</t>
        </is>
      </c>
    </row>
    <row r="23" ht="22.05" customHeight="1" s="42">
      <c r="A23" s="43" t="inlineStr">
        <is>
          <t>C. 三情景（绝对/相对混合）</t>
        </is>
      </c>
    </row>
    <row r="24" ht="22.05" customHeight="1" s="42">
      <c r="A24" s="51" t="inlineStr">
        <is>
          <t>情景</t>
        </is>
      </c>
      <c r="B24" s="51" t="inlineStr">
        <is>
          <t>概率</t>
        </is>
      </c>
      <c r="C24" s="51" t="inlineStr">
        <is>
          <t>EPS 或 FCF/股</t>
        </is>
      </c>
      <c r="D24" s="51" t="inlineStr">
        <is>
          <t>倍数 PE/EV</t>
        </is>
      </c>
      <c r="E24" s="51" t="inlineStr">
        <is>
          <t>隐含价格</t>
        </is>
      </c>
      <c r="F24" s="51" t="inlineStr">
        <is>
          <t>距现价</t>
        </is>
      </c>
    </row>
    <row r="25" ht="22.05" customHeight="1" s="42">
      <c r="A25" s="36" t="inlineStr">
        <is>
          <t>Bear</t>
        </is>
      </c>
      <c r="B25" s="77" t="n">
        <v>0.25</v>
      </c>
      <c r="C25" s="64" t="n">
        <v>0.45</v>
      </c>
      <c r="D25" s="81" t="n">
        <v>10</v>
      </c>
      <c r="E25" s="79">
        <f>IF(OR(C25="",D25=""),"",C25*D25)</f>
        <v/>
      </c>
      <c r="F25" s="76">
        <f>IF(OR(E25="",封面!B9="",封面!B9=0),"",E25/封面!B9-1)</f>
        <v/>
      </c>
    </row>
    <row r="26" ht="22.05" customHeight="1" s="42">
      <c r="A26" s="36" t="inlineStr">
        <is>
          <t>Base</t>
        </is>
      </c>
      <c r="B26" s="77" t="n">
        <v>0.5</v>
      </c>
      <c r="C26" s="64" t="n">
        <v>0.53</v>
      </c>
      <c r="D26" s="81" t="n">
        <v>12</v>
      </c>
      <c r="E26" s="79">
        <f>IF(OR(C26="",D26=""),"",C26*D26)</f>
        <v/>
      </c>
      <c r="F26" s="76">
        <f>IF(OR(E26="",封面!B9="",封面!B9=0),"",E26/封面!B9-1)</f>
        <v/>
      </c>
    </row>
    <row r="27" ht="22.05" customHeight="1" s="42">
      <c r="A27" s="36" t="inlineStr">
        <is>
          <t>Bull</t>
        </is>
      </c>
      <c r="B27" s="77" t="n">
        <v>0.25</v>
      </c>
      <c r="C27" s="64" t="n">
        <v>0.62</v>
      </c>
      <c r="D27" s="81" t="n">
        <v>14</v>
      </c>
      <c r="E27" s="79">
        <f>IF(OR(C27="",D27=""),"",C27*D27)</f>
        <v/>
      </c>
      <c r="F27" s="76">
        <f>IF(OR(E27="",封面!B9="",封面!B9=0),"",E27/封面!B9-1)</f>
        <v/>
      </c>
    </row>
    <row r="28" ht="15" customHeight="1" s="42">
      <c r="A28" s="9" t="inlineStr">
        <is>
          <t>Base 隐含价</t>
        </is>
      </c>
      <c r="B28" s="71">
        <f>E26</f>
        <v/>
      </c>
      <c r="C28" s="71">
        <f>E26</f>
        <v/>
      </c>
      <c r="D28" s="45" t="inlineStr">
        <is>
          <t>封面读取 C28</t>
        </is>
      </c>
    </row>
    <row r="29" ht="15" customHeight="1" s="42">
      <c r="A29" s="9" t="inlineStr">
        <is>
          <t>概率加权价</t>
        </is>
      </c>
      <c r="B29" s="79">
        <f>IF(ABS(SUM(B25:B27)-1)&gt;0.02,"请检查概率合计=100%",IF(COUNT(E25:E27)&lt;3,"",SUMPRODUCT(B25:B27,E25:E27)))</f>
        <v/>
      </c>
      <c r="C29" s="71">
        <f>B29</f>
        <v/>
      </c>
    </row>
    <row r="30" ht="15" customHeight="1" s="42">
      <c r="A30" s="9" t="inlineStr">
        <is>
          <t>期望价 vs 现价</t>
        </is>
      </c>
      <c r="B30" s="76">
        <f>IF(OR(B29="",封面!B9="",封面!B9=0),"",B29/封面!B9-1)</f>
        <v/>
      </c>
      <c r="C30" s="72">
        <f>B30</f>
        <v/>
      </c>
    </row>
    <row r="31" ht="15" customHeight="1" s="42">
      <c r="A31" s="9" t="inlineStr">
        <is>
          <t>估值区间文本</t>
        </is>
      </c>
      <c r="B31" s="24">
        <f>IF(COUNT(E25:E27)&lt;3,"未完成",TEXT(MIN(E25:E27),"#,##0.00")&amp;" ~ "&amp;TEXT(MAX(E25:E27),"#,##0.00")&amp;" "&amp;封面!B10)</f>
        <v/>
      </c>
      <c r="C31" s="58">
        <f>B31</f>
        <v/>
      </c>
      <c r="D31" s="45" t="inlineStr">
        <is>
          <t>封面读取 C31。可把 E 列改成你的 DCF 价格（直接覆盖公式）。</t>
        </is>
      </c>
      <c r="E31" s="46" t="n"/>
      <c r="F31" s="47" t="n"/>
    </row>
    <row r="33" ht="22.05" customHeight="1" s="42">
      <c r="A33" s="43" t="inlineStr">
        <is>
          <t>D. 市场共识 vs 我的分歧</t>
        </is>
      </c>
    </row>
    <row r="34" ht="22.05" customHeight="1" s="42">
      <c r="A34" s="51" t="inlineStr">
        <is>
          <t>项目</t>
        </is>
      </c>
      <c r="B34" s="51" t="inlineStr">
        <is>
          <t>市场隐含 / 一致预期</t>
        </is>
      </c>
      <c r="C34" s="51" t="inlineStr">
        <is>
          <t>我的预期</t>
        </is>
      </c>
      <c r="D34" s="51" t="inlineStr">
        <is>
          <t>历史分位 / base rate</t>
        </is>
      </c>
      <c r="E34" s="51" t="inlineStr">
        <is>
          <t>净预期差</t>
        </is>
      </c>
      <c r="F34" s="51" t="inlineStr">
        <is>
          <t>来源</t>
        </is>
      </c>
    </row>
    <row r="35" ht="24" customHeight="1" s="42">
      <c r="A35" s="9" t="inlineStr">
        <is>
          <t>明年收入增速</t>
        </is>
      </c>
      <c r="B35" s="65" t="inlineStr">
        <is>
          <t>公司没有给出FY2027收入指引。雅虎forwardEps为0.6812，抓取时价格8.40，未经公告核对。</t>
        </is>
      </c>
      <c r="C35" s="41" t="inlineStr">
        <is>
          <t>基准假设EPS维持0.53港元，不把雅虎0.68写成我的预测。</t>
        </is>
      </c>
      <c r="D35" s="41" t="inlineStr">
        <is>
          <t>自身五年市盈率中位数待查。</t>
        </is>
      </c>
      <c r="E35" s="41" t="inlineStr">
        <is>
          <t>我的基准低于数据商的远期每股盈利。</t>
        </is>
      </c>
      <c r="F35" s="41" t="inlineStr">
        <is>
          <t>业绩公告；雅虎，2026-09-25。</t>
        </is>
      </c>
    </row>
    <row r="36" ht="24" customHeight="1" s="42">
      <c r="A36" s="9" t="inlineStr">
        <is>
          <t>利润率</t>
        </is>
      </c>
      <c r="B36" s="41" t="inlineStr">
        <is>
          <t>市场用6.53%的上涨交易已公布的11%利润增长。</t>
        </is>
      </c>
      <c r="C36" s="41" t="inlineStr">
        <is>
          <t>毛利率0.148，不假设扩张。金融板块应占经营溢利增19%，物流降13%。</t>
        </is>
      </c>
      <c r="D36" s="41" t="inlineStr">
        <is>
          <t>FY2026经营溢利率3,731.5/27,099.7=0.138。</t>
        </is>
      </c>
      <c r="E36" s="41" t="inlineStr">
        <is>
          <t>分歧在增长能维持多久，不在已经公布的FY2026。</t>
        </is>
      </c>
      <c r="F36" s="41" t="inlineStr">
        <is>
          <t>业绩公告综合收益表。</t>
        </is>
      </c>
    </row>
    <row r="37" ht="24" customHeight="1" s="42">
      <c r="A37" s="9" t="inlineStr">
        <is>
          <t>FCF / 派息</t>
        </is>
      </c>
      <c r="B37" s="41" t="inlineStr">
        <is>
          <t>收盘8.40对应普通股息0.61的收益率0.073。市场没有公布自由现金流假设。</t>
        </is>
      </c>
      <c r="C37" s="65" t="inlineStr">
        <is>
          <t>普通股息总额2,785.4，除以股东应占溢利2,392.6，派息比例1.16。自由现金流待查。</t>
        </is>
      </c>
      <c r="D37" s="41" t="inlineStr">
        <is>
          <t>FY2025普通股息总额含特别股息，公告写明与0.61不直接可比。</t>
        </is>
      </c>
      <c r="E37" s="41" t="inlineStr">
        <is>
          <t>现金覆盖是未核对项，不是已证实的安全边际。</t>
        </is>
      </c>
      <c r="F37" s="41" t="inlineStr">
        <is>
          <t>业绩公告股息附注。</t>
        </is>
      </c>
    </row>
    <row r="38" ht="24" customHeight="1" s="42">
      <c r="A38" s="9" t="inlineStr">
        <is>
          <t>竞争格局</t>
        </is>
      </c>
      <c r="B38" s="41" t="inlineStr">
        <is>
          <t>业绩日上涨，恒指当天跌1.01%。</t>
        </is>
      </c>
      <c r="C38" s="41" t="inlineStr">
        <is>
          <t>金融已是最大应占经营溢利来源，道路持平，物流和建筑走弱。</t>
        </is>
      </c>
      <c r="D38" s="41" t="inlineStr">
        <is>
          <t>多元化集团，不是单一保险或单一公路。</t>
        </is>
      </c>
      <c r="E38" s="41" t="inlineStr">
        <is>
          <t>不把板块轮动写成新的增长。</t>
        </is>
      </c>
      <c r="F38" s="41" t="inlineStr">
        <is>
          <t>业绩公告分部；收盘复盘2026-09-25。</t>
        </is>
      </c>
    </row>
    <row r="39" ht="24" customHeight="1" s="42">
      <c r="A39" s="9" t="inlineStr">
        <is>
          <t>倍数/折现率</t>
        </is>
      </c>
      <c r="B39" s="41" t="inlineStr">
        <is>
          <t>现价对应FY2026基本每股盈利0.53的市盈率15.85。</t>
        </is>
      </c>
      <c r="C39" s="41" t="inlineStr">
        <is>
          <t>基准0.53×12=6.36港元。</t>
        </is>
      </c>
      <c r="D39" s="41" t="inlineStr">
        <is>
          <t>五年中位数和同行中位数待查，不填假的同行中位。</t>
        </is>
      </c>
      <c r="E39" s="41" t="inlineStr">
        <is>
          <t>现价8.40高于基准6.36，接近牛市8.68。概率加权6.47。</t>
        </is>
      </c>
      <c r="F39" s="41" t="inlineStr">
        <is>
          <t>情景为假设。市盈率用公告基本每股盈利。</t>
        </is>
      </c>
    </row>
    <row r="41" ht="36" customHeight="1" s="42">
      <c r="A41" s="49" t="inlineStr">
        <is>
          <t>非金融深 DCF 可用 Damodaran fcffsimpleginzu.xlsx；金融用 divginzu.xlsx。本表只要求三情景价格，不强制完整 DCF。</t>
        </is>
      </c>
    </row>
  </sheetData>
  <mergeCells count="22">
    <mergeCell ref="A41:F41"/>
    <mergeCell ref="C6:D6"/>
    <mergeCell ref="A3:F3"/>
    <mergeCell ref="E8:F8"/>
    <mergeCell ref="A2:F2"/>
    <mergeCell ref="A33:F33"/>
    <mergeCell ref="B12:F12"/>
    <mergeCell ref="C10:D10"/>
    <mergeCell ref="E10:F10"/>
    <mergeCell ref="A14:F14"/>
    <mergeCell ref="A5:F5"/>
    <mergeCell ref="A23:F23"/>
    <mergeCell ref="C9:D9"/>
    <mergeCell ref="E9:F9"/>
    <mergeCell ref="E6:F6"/>
    <mergeCell ref="C11:D11"/>
    <mergeCell ref="E11:F11"/>
    <mergeCell ref="C8:D8"/>
    <mergeCell ref="C7:D7"/>
    <mergeCell ref="E7:F7"/>
    <mergeCell ref="D31:F31"/>
    <mergeCell ref="A1:F1"/>
  </mergeCells>
  <dataValidations count="1">
    <dataValidation sqref="B7:B11" showDropDown="0" showInputMessage="0" showErrorMessage="0" allowBlank="1" errorTitle="无效输入" error="请从下拉列表选择" promptTitle="填写" prompt="从列表选择" type="list">
      <formula1>"有,弱,无,待判"</formula1>
    </dataValidation>
  </dataValidations>
  <printOptions horizontalCentered="1"/>
  <pageMargins left="0.5" right="0.5" top="0.6" bottom="0.6" header="0.5" footer="0.5"/>
  <pageSetup orientation="portrait" paperSize="9" fitToHeight="0"/>
</worksheet>
</file>

<file path=xl/worksheets/sheet7.xml><?xml version="1.0" encoding="utf-8"?>
<worksheet xmlns="http://schemas.openxmlformats.org/spreadsheetml/2006/main">
  <sheetPr>
    <tabColor rgb="FFBF8F00"/>
    <outlinePr summaryBelow="1" summaryRight="1"/>
    <pageSetUpPr fitToPage="1"/>
  </sheetPr>
  <dimension ref="A1:F23"/>
  <sheetViews>
    <sheetView showGridLines="0" workbookViewId="0">
      <pane ySplit="1" topLeftCell="A2" activePane="bottomLeft" state="frozen"/>
      <selection pane="bottomLeft" activeCell="A1" sqref="A1"/>
    </sheetView>
  </sheetViews>
  <sheetFormatPr baseColWidth="8" defaultRowHeight="13.5"/>
  <cols>
    <col width="16" customWidth="1" style="42" min="1" max="1"/>
    <col width="28" customWidth="1" style="42" min="2" max="2"/>
    <col width="22" customWidth="1" style="42" min="3" max="3"/>
    <col width="28" customWidth="1" style="42" min="4" max="4"/>
    <col width="22" customWidth="1" style="42" min="5" max="5"/>
    <col width="24" customWidth="1" style="42" min="6" max="6"/>
  </cols>
  <sheetData>
    <row r="1" ht="28.05" customHeight="1" s="42">
      <c r="A1" s="53" t="inlineStr">
        <is>
          <t>情绪与预期差  ·  读预期，不追热度</t>
        </is>
      </c>
      <c r="B1" s="46" t="n"/>
      <c r="C1" s="46" t="n"/>
      <c r="D1" s="46" t="n"/>
      <c r="E1" s="46" t="n"/>
      <c r="F1" s="47" t="n"/>
    </row>
    <row r="2">
      <c r="A2" s="58">
        <f>"标的："&amp;IF(封面!B5="","（先填封面）",封面!B5)</f>
        <v/>
      </c>
      <c r="B2" s="46" t="n"/>
      <c r="C2" s="46" t="n"/>
      <c r="D2" s="46" t="n"/>
      <c r="E2" s="46" t="n"/>
      <c r="F2" s="47" t="n"/>
    </row>
    <row r="3" ht="36" customHeight="1" s="42">
      <c r="A3" s="49" t="inlineStr">
        <is>
          <t>目标：当前价格计入了什么故事、谁在交易、拥挤后谁是对手盘。基本面好+情绪过热 → 等或减小仓。基本面差+情绪冰点 ≠ 自动买点。</t>
        </is>
      </c>
    </row>
    <row r="5" ht="22.05" customHeight="1" s="42">
      <c r="A5" s="43" t="inlineStr">
        <is>
          <t>四层情绪</t>
        </is>
      </c>
    </row>
    <row r="6" ht="22.05" customHeight="1" s="42">
      <c r="A6" s="51" t="inlineStr">
        <is>
          <t>层</t>
        </is>
      </c>
      <c r="B6" s="51" t="inlineStr">
        <is>
          <t>现在的样子（填写）</t>
        </is>
      </c>
      <c r="C6" s="51" t="inlineStr">
        <is>
          <t>拥挤度 热/中/冷</t>
        </is>
      </c>
      <c r="D6" s="51" t="inlineStr">
        <is>
          <t>拥挤时</t>
        </is>
      </c>
      <c r="E6" s="51" t="inlineStr">
        <is>
          <t>冷清时</t>
        </is>
      </c>
      <c r="F6" s="51" t="inlineStr">
        <is>
          <t>数据来源</t>
        </is>
      </c>
    </row>
    <row r="7" ht="36" customHeight="1" s="42">
      <c r="A7" s="9" t="inlineStr">
        <is>
          <t>新闻叙事</t>
        </is>
      </c>
      <c r="B7" s="65" t="inlineStr">
        <is>
          <t>9月25日是FY2026业绩的第一个交易日。复盘写收盘涨6.53%至8.40港元，成交1.17亿港元。叙事是利润增11%和末期息0.33港元。</t>
        </is>
      </c>
      <c r="C7" s="48" t="inlineStr">
        <is>
          <t>中</t>
        </is>
      </c>
      <c r="D7" s="60" t="inlineStr">
        <is>
          <t>标题同质、只有一个故事</t>
        </is>
      </c>
      <c r="E7" s="21" t="inlineStr">
        <is>
          <t>几乎没人写，或只剩例行公告</t>
        </is>
      </c>
      <c r="F7" s="65" t="inlineStr">
        <is>
          <t>output/review/2026-09-25/review.md；港交所业绩公告。</t>
        </is>
      </c>
    </row>
    <row r="8" ht="36" customHeight="1" s="42">
      <c r="A8" s="9" t="inlineStr">
        <is>
          <t>社交与散户</t>
        </is>
      </c>
      <c r="B8" s="41" t="inlineStr">
        <is>
          <t>社交提及量待查。当天成交额1.17亿港元，高于此前多数交易日。</t>
        </is>
      </c>
      <c r="C8" s="48" t="inlineStr">
        <is>
          <t>中</t>
        </is>
      </c>
      <c r="D8" s="60" t="inlineStr">
        <is>
          <t>提及暴增且一边倒看多</t>
        </is>
      </c>
      <c r="E8" s="21" t="inlineStr">
        <is>
          <t>提及低、争议少、换手低</t>
        </is>
      </c>
      <c r="F8" s="41" t="inlineStr">
        <is>
          <t>雅虎日线2026-09-25成交量13,943,709股，乘收盘8.40港元。</t>
        </is>
      </c>
    </row>
    <row r="9" ht="36" customHeight="1" s="42">
      <c r="A9" s="9" t="inlineStr">
        <is>
          <t>卖方与资金</t>
        </is>
      </c>
      <c r="B9" s="65" t="inlineStr">
        <is>
          <t>没有公司给出的FY2027一致预期口径。雅虎forwardEps 0.6812只作数据商数字。</t>
        </is>
      </c>
      <c r="C9" s="48" t="inlineStr">
        <is>
          <t>冷</t>
        </is>
      </c>
      <c r="D9" s="60" t="inlineStr">
        <is>
          <t>一致预期很高、上调扎堆</t>
        </is>
      </c>
      <c r="E9" s="21" t="inlineStr">
        <is>
          <t>覆盖少、目标价低于现价、机构在减</t>
        </is>
      </c>
      <c r="F9" s="41" t="inlineStr">
        <is>
          <t>雅虎，抓取日2026-09-25。</t>
        </is>
      </c>
    </row>
    <row r="10" ht="36" customHeight="1" s="42">
      <c r="A10" s="9" t="inlineStr">
        <is>
          <t>期权与波动</t>
        </is>
      </c>
      <c r="B10" s="41" t="inlineStr">
        <is>
          <t>港股无期权可用。20日日均成交额见风险表。业绩日放量，不是连续涨停。</t>
        </is>
      </c>
      <c r="C10" s="48" t="inlineStr">
        <is>
          <t>中</t>
        </is>
      </c>
      <c r="D10" s="60" t="inlineStr">
        <is>
          <t>IV 极高、看涨期权拥挤</t>
        </is>
      </c>
      <c r="E10" s="21" t="inlineStr">
        <is>
          <t>IV 处于自身低位；A 股用换手代替</t>
        </is>
      </c>
      <c r="F10" s="41" t="inlineStr">
        <is>
          <t>雅虎日线2026-08-28至2026-09-25。</t>
        </is>
      </c>
    </row>
    <row r="12" ht="22.05" customHeight="1" s="42">
      <c r="A12" s="43" t="inlineStr">
        <is>
          <t>检查项</t>
        </is>
      </c>
    </row>
    <row r="13" ht="22.05" customHeight="1" s="42">
      <c r="A13" s="51" t="inlineStr">
        <is>
          <t>#</t>
        </is>
      </c>
      <c r="B13" s="51" t="inlineStr">
        <is>
          <t>检查项</t>
        </is>
      </c>
      <c r="C13" s="51" t="inlineStr">
        <is>
          <t>结论</t>
        </is>
      </c>
      <c r="D13" s="51" t="inlineStr">
        <is>
          <t>记录</t>
        </is>
      </c>
      <c r="E13" s="46" t="n"/>
      <c r="F13" s="47" t="n"/>
    </row>
    <row r="14" ht="28.05" customHeight="1" s="42">
      <c r="A14" s="2" t="inlineStr">
        <is>
          <t>1</t>
        </is>
      </c>
      <c r="B14" s="55" t="inlineStr">
        <is>
          <t>过去 30 天核心新闻已读，并能用一句话概括市场叙事</t>
        </is>
      </c>
      <c r="C14" s="48" t="inlineStr">
        <is>
          <t>是</t>
        </is>
      </c>
      <c r="D14" s="41" t="inlineStr">
        <is>
          <t>市场叙事是业绩增长和现金股息。复盘同时提醒不要把新十送一当成已经成立的方案。</t>
        </is>
      </c>
      <c r="E14" s="46" t="n"/>
      <c r="F14" s="47" t="n"/>
    </row>
    <row r="15" ht="28.05" customHeight="1" s="42">
      <c r="A15" s="2" t="inlineStr">
        <is>
          <t>2</t>
        </is>
      </c>
      <c r="B15" s="55" t="inlineStr">
        <is>
          <t>查过一致预期 EPS / 目标价，并标出我和共识的分歧点</t>
        </is>
      </c>
      <c r="C15" s="48" t="inlineStr">
        <is>
          <t>是</t>
        </is>
      </c>
      <c r="D15" s="65" t="inlineStr">
        <is>
          <t>公司无FY2027每股盈利指引。我的基准EPS是0.53，低于雅虎forwardEps 0.68。</t>
        </is>
      </c>
      <c r="E15" s="46" t="n"/>
      <c r="F15" s="47" t="n"/>
    </row>
    <row r="16" ht="28.05" customHeight="1" s="42">
      <c r="A16" s="2" t="inlineStr">
        <is>
          <t>3</t>
        </is>
      </c>
      <c r="B16" s="55" t="inlineStr">
        <is>
          <t>看过提及量或换手：热门拥挤还是乏人问津</t>
        </is>
      </c>
      <c r="C16" s="48" t="inlineStr">
        <is>
          <t>是</t>
        </is>
      </c>
      <c r="D16" s="41" t="inlineStr">
        <is>
          <t>用成交额不用社交提及量。提及量待查。20日涨幅未过20%，当天相对放量。</t>
        </is>
      </c>
      <c r="E16" s="46" t="n"/>
      <c r="F16" s="47" t="n"/>
    </row>
    <row r="17" ht="28.05" customHeight="1" s="42">
      <c r="A17" s="2" t="inlineStr">
        <is>
          <t>4</t>
        </is>
      </c>
      <c r="B17" s="55" t="inlineStr">
        <is>
          <t>看过机构/北向/融资或 13F 的方向，而不是单日资金颜色</t>
        </is>
      </c>
      <c r="C17" s="48" t="inlineStr">
        <is>
          <t>待查</t>
        </is>
      </c>
      <c r="D17" s="41" t="inlineStr">
        <is>
          <t>9月25日港股通暂停，没有南向。更长的持仓方向没有可靠序列，不用单日成交代替。</t>
        </is>
      </c>
      <c r="E17" s="46" t="n"/>
      <c r="F17" s="47" t="n"/>
    </row>
    <row r="18" ht="28.05" customHeight="1" s="42">
      <c r="A18" s="2" t="inlineStr">
        <is>
          <t>5</t>
        </is>
      </c>
      <c r="B18" s="55" t="inlineStr">
        <is>
          <t>美股看 IV Rank、Put/Call；A 股用换手+涨跌停情绪代替</t>
        </is>
      </c>
      <c r="C18" s="48" t="inlineStr">
        <is>
          <t>是</t>
        </is>
      </c>
      <c r="D18" s="41" t="inlineStr">
        <is>
          <t>港股用成交额。业绩日成交额远高于20日中位数，但仍是一日事件。</t>
        </is>
      </c>
      <c r="E18" s="46" t="n"/>
      <c r="F18" s="47" t="n"/>
    </row>
    <row r="19" ht="28.05" customHeight="1" s="42">
      <c r="A19" s="2" t="inlineStr">
        <is>
          <t>6</t>
        </is>
      </c>
      <c r="B19" s="55" t="inlineStr">
        <is>
          <t>写清楚：市场已经定价了什么，我额外押的是什么</t>
        </is>
      </c>
      <c r="C19" s="48" t="inlineStr">
        <is>
          <t>是</t>
        </is>
      </c>
      <c r="D19" s="65" t="inlineStr">
        <is>
          <t>已定价的是FY2026利润增长和0.61港元普通股息。我没有在8.40港元上额外押FY2027增长。</t>
        </is>
      </c>
      <c r="E19" s="46" t="n"/>
      <c r="F19" s="47" t="n"/>
    </row>
    <row r="20" ht="22.05" customHeight="1" s="42">
      <c r="A20" s="9" t="inlineStr">
        <is>
          <t>市场已定价</t>
        </is>
      </c>
      <c r="B20" s="65" t="inlineStr">
        <is>
          <t>FY2026股东应占溢利增11%、末期息0.33港元，以及一个交易日6.53%的涨幅。</t>
        </is>
      </c>
      <c r="C20" s="66" t="n"/>
      <c r="D20" s="66" t="n"/>
      <c r="E20" s="66" t="n"/>
      <c r="F20" s="67" t="n"/>
    </row>
    <row r="21" ht="22.05" customHeight="1" s="42">
      <c r="B21" s="68" t="n"/>
      <c r="C21" s="69" t="n"/>
      <c r="D21" s="69" t="n"/>
      <c r="E21" s="69" t="n"/>
      <c r="F21" s="70" t="n"/>
    </row>
    <row r="22" ht="22.05" customHeight="1" s="42">
      <c r="A22" s="9" t="inlineStr">
        <is>
          <t>我额外押的</t>
        </is>
      </c>
      <c r="B22" s="65" t="inlineStr">
        <is>
          <t>没有额外的多头。若价格回到基准6.36港元附近，且现金流量表证明经营现金流覆盖普通股息，才重新讨论。</t>
        </is>
      </c>
      <c r="C22" s="66" t="n"/>
      <c r="D22" s="66" t="n"/>
      <c r="E22" s="66" t="n"/>
      <c r="F22" s="67" t="n"/>
    </row>
    <row r="23" ht="22.05" customHeight="1" s="42">
      <c r="B23" s="68" t="n"/>
      <c r="C23" s="69" t="n"/>
      <c r="D23" s="69" t="n"/>
      <c r="E23" s="69" t="n"/>
      <c r="F23" s="70" t="n"/>
    </row>
  </sheetData>
  <mergeCells count="14">
    <mergeCell ref="B22:F23"/>
    <mergeCell ref="A2:F2"/>
    <mergeCell ref="D19:F19"/>
    <mergeCell ref="D13:F13"/>
    <mergeCell ref="D14:F14"/>
    <mergeCell ref="B20:F21"/>
    <mergeCell ref="A1:F1"/>
    <mergeCell ref="A5:F5"/>
    <mergeCell ref="D18:F18"/>
    <mergeCell ref="D17:F17"/>
    <mergeCell ref="A12:F12"/>
    <mergeCell ref="A3:F3"/>
    <mergeCell ref="D15:F15"/>
    <mergeCell ref="D16:F16"/>
  </mergeCells>
  <dataValidations count="2">
    <dataValidation sqref="C7:C10" showDropDown="0" showInputMessage="0" showErrorMessage="0" allowBlank="1" errorTitle="无效输入" error="请从下拉列表选择" promptTitle="填写" prompt="从列表选择" type="list">
      <formula1>"热,中,冷"</formula1>
    </dataValidation>
    <dataValidation sqref="C14:C19" showDropDown="0" showInputMessage="0" showErrorMessage="0" allowBlank="1" errorTitle="无效输入" error="请从下拉列表选择" promptTitle="填写" prompt="从列表选择" type="list">
      <formula1>"是,否,待查"</formula1>
    </dataValidation>
  </dataValidations>
  <printOptions horizontalCentered="1"/>
  <pageMargins left="0.5" right="0.5" top="0.6" bottom="0.6" header="0.5" footer="0.5"/>
  <pageSetup orientation="landscape" paperSize="9" fitToHeight="0"/>
</worksheet>
</file>

<file path=xl/worksheets/sheet8.xml><?xml version="1.0" encoding="utf-8"?>
<worksheet xmlns="http://schemas.openxmlformats.org/spreadsheetml/2006/main">
  <sheetPr>
    <tabColor rgb="FFC00000"/>
    <outlinePr summaryBelow="1" summaryRight="1"/>
    <pageSetUpPr fitToPage="1"/>
  </sheetPr>
  <dimension ref="A1:F40"/>
  <sheetViews>
    <sheetView showGridLines="0" workbookViewId="0">
      <pane ySplit="1" topLeftCell="A2" activePane="bottomLeft" state="frozen"/>
      <selection pane="bottomLeft" activeCell="A1" sqref="A1"/>
    </sheetView>
  </sheetViews>
  <sheetFormatPr baseColWidth="8" defaultRowHeight="13.5"/>
  <cols>
    <col width="18" customWidth="1" style="42" min="1" max="1"/>
    <col width="16" customWidth="1" style="42" min="2" max="2"/>
    <col width="18" customWidth="1" style="42" min="3" max="3"/>
    <col width="22" customWidth="1" style="42" min="4" max="5"/>
    <col width="28" customWidth="1" style="42" min="6" max="6"/>
  </cols>
  <sheetData>
    <row r="1" ht="28.05" customHeight="1" s="42">
      <c r="A1" s="53" t="inlineStr">
        <is>
          <t>风险与仓位  ·  先写证伪，再定量</t>
        </is>
      </c>
      <c r="B1" s="46" t="n"/>
      <c r="C1" s="46" t="n"/>
      <c r="D1" s="46" t="n"/>
      <c r="E1" s="46" t="n"/>
      <c r="F1" s="47" t="n"/>
    </row>
    <row r="2">
      <c r="A2" s="58">
        <f>"标的："&amp;IF(封面!B5="","（先填封面）",封面!B5&amp;"  现价 "&amp;TEXT(封面!B9,"#,##0.00"))</f>
        <v/>
      </c>
      <c r="B2" s="46" t="n"/>
      <c r="C2" s="46" t="n"/>
      <c r="D2" s="46" t="n"/>
      <c r="E2" s="46" t="n"/>
      <c r="F2" s="47" t="n"/>
    </row>
    <row r="3" ht="36" customHeight="1" s="42">
      <c r="A3" s="49" t="inlineStr">
        <is>
          <t>只保留会推翻论点的风险。仓位由波动和流动性决定，不由「有多看好」决定。保守账户单票风险预算常见 0.25%–1% 组合权益。</t>
        </is>
      </c>
    </row>
    <row r="5" ht="22.05" customHeight="1" s="42">
      <c r="A5" s="43" t="inlineStr">
        <is>
          <t>A. 仓位计算器</t>
        </is>
      </c>
    </row>
    <row r="6" ht="15" customHeight="1" s="42">
      <c r="A6" s="9" t="inlineStr">
        <is>
          <t>组合权益</t>
        </is>
      </c>
      <c r="B6" s="82" t="n">
        <v>1000000</v>
      </c>
      <c r="C6" s="45" t="inlineStr">
        <is>
          <t>你的可投资本金</t>
        </is>
      </c>
      <c r="D6" s="46" t="n"/>
      <c r="E6" s="46" t="n"/>
      <c r="F6" s="47" t="n"/>
    </row>
    <row r="7" ht="15" customHeight="1" s="42">
      <c r="A7" s="9" t="inlineStr">
        <is>
          <t>单票风险预算</t>
        </is>
      </c>
      <c r="B7" s="39" t="n">
        <v>0.005</v>
      </c>
      <c r="C7" s="45" t="inlineStr">
        <is>
          <t>亏到证伪时，最多亏组合的多少</t>
        </is>
      </c>
      <c r="D7" s="46" t="n"/>
      <c r="E7" s="46" t="n"/>
      <c r="F7" s="47" t="n"/>
    </row>
    <row r="8" ht="15" customHeight="1" s="42">
      <c r="A8" s="9" t="inlineStr">
        <is>
          <t>证伪跌幅</t>
        </is>
      </c>
      <c r="B8" s="77" t="n">
        <v>0.3</v>
      </c>
      <c r="C8" s="45" t="inlineStr">
        <is>
          <t>从现价到无效化的跌幅（正数）</t>
        </is>
      </c>
      <c r="D8" s="46" t="n"/>
      <c r="E8" s="46" t="n"/>
      <c r="F8" s="47" t="n"/>
    </row>
    <row r="9" ht="15" customHeight="1" s="42">
      <c r="A9" s="9" t="inlineStr">
        <is>
          <t>日均成交额</t>
        </is>
      </c>
      <c r="B9" s="82" t="n">
        <v>13505548.65833631</v>
      </c>
      <c r="C9" s="45" t="inlineStr">
        <is>
          <t>与现价同一货币</t>
        </is>
      </c>
      <c r="D9" s="46" t="n"/>
      <c r="E9" s="46" t="n"/>
      <c r="F9" s="47" t="n"/>
    </row>
    <row r="10" ht="15" customHeight="1" s="42">
      <c r="A10" s="9" t="inlineStr">
        <is>
          <t>流动性占用上限</t>
        </is>
      </c>
      <c r="B10" s="77" t="n">
        <v>0.05</v>
      </c>
      <c r="C10" s="45" t="inlineStr">
        <is>
          <t>不超过日均成交的比例</t>
        </is>
      </c>
      <c r="D10" s="46" t="n"/>
      <c r="E10" s="46" t="n"/>
      <c r="F10" s="47" t="n"/>
    </row>
    <row r="12" ht="15" customHeight="1" s="42">
      <c r="A12" s="9" t="inlineStr">
        <is>
          <t>风险预算金额</t>
        </is>
      </c>
      <c r="B12" s="83">
        <f>IF(OR(B6="",B7=""),"",B6*B7)</f>
        <v/>
      </c>
      <c r="C12" s="45" t="inlineStr">
        <is>
          <t>权益 × 风险预算</t>
        </is>
      </c>
    </row>
    <row r="13" ht="24.75" customHeight="1" s="42">
      <c r="A13" s="9" t="inlineStr">
        <is>
          <t>波动反推仓位金额</t>
        </is>
      </c>
      <c r="B13" s="83">
        <f>IF(OR(B12="",B8="",B8=0),"",B12/B8)</f>
        <v/>
      </c>
      <c r="C13" s="45" t="inlineStr">
        <is>
          <t>风险预算金额 / 证伪跌幅</t>
        </is>
      </c>
    </row>
    <row r="14" ht="15" customHeight="1" s="42">
      <c r="A14" s="9" t="inlineStr">
        <is>
          <t>流动性上限金额</t>
        </is>
      </c>
      <c r="B14" s="83">
        <f>IF(OR(B9="",B10=""),"",B9*B10)</f>
        <v/>
      </c>
      <c r="C14" s="45" t="inlineStr">
        <is>
          <t>日均成交 × 占用上限</t>
        </is>
      </c>
    </row>
    <row r="15" ht="15" customHeight="1" s="42">
      <c r="A15" s="9" t="inlineStr">
        <is>
          <t>建议金额</t>
        </is>
      </c>
      <c r="B15" s="83">
        <f>IF(B13="",IF(B14="","",B14),IF(B14="",B13,MIN(B13,B14)))</f>
        <v/>
      </c>
      <c r="C15" s="73">
        <f>B15</f>
        <v/>
      </c>
      <c r="D15" s="45" t="inlineStr">
        <is>
          <t>封面读 C15</t>
        </is>
      </c>
    </row>
    <row r="16" ht="15" customHeight="1" s="42">
      <c r="A16" s="9" t="inlineStr">
        <is>
          <t>建议仓位上限</t>
        </is>
      </c>
      <c r="B16" s="76">
        <f>IF(OR(B15="",B6="",B6=0),"",B15/B6)</f>
        <v/>
      </c>
      <c r="C16" s="72">
        <f>B16</f>
        <v/>
      </c>
      <c r="D16" s="45" t="inlineStr">
        <is>
          <t>封面读 C16</t>
        </is>
      </c>
    </row>
    <row r="17" ht="15" customHeight="1" s="42">
      <c r="A17" s="9" t="inlineStr">
        <is>
          <t>建议股数</t>
        </is>
      </c>
      <c r="B17" s="83">
        <f>IF(OR(B15="",封面!B9="",封面!B9=0),"",B15/封面!B9)</f>
        <v/>
      </c>
    </row>
    <row r="19" ht="22.05" customHeight="1" s="42">
      <c r="A19" s="43" t="inlineStr">
        <is>
          <t>B. Pre-mortem（假设一年后失败）</t>
        </is>
      </c>
    </row>
    <row r="20" ht="22.05" customHeight="1" s="42">
      <c r="A20" s="51" t="inlineStr">
        <is>
          <t>#</t>
        </is>
      </c>
      <c r="B20" s="51" t="inlineStr">
        <is>
          <t>失败原因（至少一条打论点）</t>
        </is>
      </c>
      <c r="C20" s="51" t="inlineStr">
        <is>
          <t>当前证据</t>
        </is>
      </c>
      <c r="D20" s="51" t="inlineStr">
        <is>
          <t>监控指标</t>
        </is>
      </c>
      <c r="E20" s="51" t="inlineStr">
        <is>
          <t>触发后动作</t>
        </is>
      </c>
      <c r="F20" s="51" t="inlineStr">
        <is>
          <t>强度 高/中/低</t>
        </is>
      </c>
    </row>
    <row r="21" ht="36" customHeight="1" s="42">
      <c r="A21" s="2" t="inlineStr">
        <is>
          <t>1</t>
        </is>
      </c>
      <c r="B21" s="65" t="inlineStr">
        <is>
          <t>普通股息2,785.4百万港元高于股东应占溢利2,392.6百万港元，现金覆盖不足。</t>
        </is>
      </c>
      <c r="C21" s="41" t="inlineStr">
        <is>
          <t>派息比例1.16。公告只说经营现金为净流入，没有金额。</t>
        </is>
      </c>
      <c r="D21" s="41" t="inlineStr">
        <is>
          <t>年报现金流量表的经营现金流，以及FY2027中期是否维持每股股息金额。</t>
        </is>
      </c>
      <c r="E21" s="41" t="inlineStr">
        <is>
          <t>若经营现金流低于普通股息，等待改为不做。</t>
        </is>
      </c>
      <c r="F21" s="48" t="inlineStr">
        <is>
          <t>高</t>
        </is>
      </c>
    </row>
    <row r="22" ht="36" customHeight="1" s="42">
      <c r="A22" s="2" t="inlineStr">
        <is>
          <t>2</t>
        </is>
      </c>
      <c r="B22" s="41" t="inlineStr">
        <is>
          <t>新的十送一若在11月17日通过，每股盈利和股价会按股数摊薄，总价值不变。</t>
        </is>
      </c>
      <c r="C22" s="41" t="inlineStr">
        <is>
          <t>公告建议2026-11-23名册股东每十股获发一股红股，须股东会和上市批准。</t>
        </is>
      </c>
      <c r="D22" s="41" t="inlineStr">
        <is>
          <t>11月17日股东周年大会决议。</t>
        </is>
      </c>
      <c r="E22" s="41" t="inlineStr">
        <is>
          <t>不把红股当成基本面利好。通过后用新的股数重算每股价值。</t>
        </is>
      </c>
      <c r="F22" s="48" t="inlineStr">
        <is>
          <t>中</t>
        </is>
      </c>
    </row>
    <row r="23" ht="36" customHeight="1" s="42">
      <c r="A23" s="2" t="inlineStr">
        <is>
          <t>3</t>
        </is>
      </c>
      <c r="B23" s="41" t="inlineStr">
        <is>
          <t>金融板块成为最大利润来源后，保险投资和退保会主导利润波动。</t>
        </is>
      </c>
      <c r="C23" s="65" t="inlineStr">
        <is>
          <t>金融应占经营溢利1,474.7，占4,590.6的0.32。偿付能力充足率285%。</t>
        </is>
      </c>
      <c r="D23" s="41" t="inlineStr">
        <is>
          <t>周大福人寿偿付能力、新业务价值、内含价值。</t>
        </is>
      </c>
      <c r="E23" s="41" t="inlineStr">
        <is>
          <t>偿付能力明显下滑则降低质量评级。</t>
        </is>
      </c>
      <c r="F23" s="48" t="inlineStr">
        <is>
          <t>中</t>
        </is>
      </c>
    </row>
    <row r="25" ht="22.05" customHeight="1" s="42">
      <c r="A25" s="43" t="inlineStr">
        <is>
          <t>C. 交易预案</t>
        </is>
      </c>
    </row>
    <row r="26" ht="28.05" customHeight="1" s="42">
      <c r="A26" s="9" t="inlineStr">
        <is>
          <t>持有期</t>
        </is>
      </c>
      <c r="B26" s="41" t="inlineStr">
        <is>
          <t>6至12个月，看到FY2027中期业绩。</t>
        </is>
      </c>
      <c r="C26" s="46" t="n"/>
      <c r="D26" s="47" t="n"/>
      <c r="E26" s="45" t="inlineStr">
        <is>
          <t>例如 6–18 个月，事件驱动写到催化剂日</t>
        </is>
      </c>
      <c r="F26" s="47" t="n"/>
    </row>
    <row r="27" ht="28.05" customHeight="1" s="42">
      <c r="A27" s="9" t="inlineStr">
        <is>
          <t>建仓区间</t>
        </is>
      </c>
      <c r="B27" s="65" t="inlineStr">
        <is>
          <t>不在8.40港元建仓。重新讨论的价格在基准6.36港元或以下，且经营现金流已经披露并覆盖股息。</t>
        </is>
      </c>
      <c r="C27" s="46" t="n"/>
      <c r="D27" s="47" t="n"/>
      <c r="E27" s="45" t="inlineStr">
        <is>
          <t>价格或估值分位，不要写「看着办」</t>
        </is>
      </c>
      <c r="F27" s="47" t="n"/>
    </row>
    <row r="28" ht="28.05" customHeight="1" s="42">
      <c r="A28" s="9" t="inlineStr">
        <is>
          <t>无效化 / 证伪</t>
        </is>
      </c>
      <c r="B28" s="65" t="inlineStr">
        <is>
          <t>FY2027股东应占溢利同比下降超过15%，或净负债比率重新高于0.37，或取消普通股息。价格补充是从8.40下跌0.30。</t>
        </is>
      </c>
      <c r="C28" s="46" t="n"/>
      <c r="D28" s="47" t="n"/>
      <c r="E28" s="45" t="inlineStr">
        <is>
          <t>基本面事件优先；价格止损只作补充</t>
        </is>
      </c>
      <c r="F28" s="47" t="n"/>
    </row>
    <row r="29" ht="28.05" customHeight="1" s="42">
      <c r="A29" s="9" t="inlineStr">
        <is>
          <t>减仓 / 退出</t>
        </is>
      </c>
      <c r="B29" s="41" t="inlineStr">
        <is>
          <t>现价不买。若持有，股息削减或负债率回升时减。</t>
        </is>
      </c>
      <c r="C29" s="46" t="n"/>
      <c r="D29" s="47" t="n"/>
      <c r="E29" s="45" t="inlineStr">
        <is>
          <t>论点兑现、估值到目标、或证伪触发</t>
        </is>
      </c>
      <c r="F29" s="47" t="n"/>
    </row>
    <row r="30" ht="28.05" customHeight="1" s="42">
      <c r="A30" s="9" t="inlineStr">
        <is>
          <t>下次复盘日</t>
        </is>
      </c>
      <c r="B30" s="41" t="inlineStr">
        <is>
          <t>2026-11-17股东周年大会；其后是FY2027中期业绩。</t>
        </is>
      </c>
      <c r="C30" s="46" t="n"/>
      <c r="D30" s="47" t="n"/>
      <c r="E30" s="45" t="inlineStr">
        <is>
          <t>下次财报或某个领先指标阈值</t>
        </is>
      </c>
      <c r="F30" s="47" t="n"/>
    </row>
    <row r="31" ht="28.05" customHeight="1" s="42">
      <c r="A31" s="9" t="inlineStr">
        <is>
          <t>与现有持仓重叠</t>
        </is>
      </c>
      <c r="B31" s="65" t="inlineStr">
        <is>
          <t>与香港综合企业、内房链的建造合约和保险股重叠。数据中心权益还小，不按算力主题加仓。</t>
        </is>
      </c>
      <c r="C31" s="46" t="n"/>
      <c r="D31" s="47" t="n"/>
      <c r="E31" s="45" t="inlineStr">
        <is>
          <t>行业 / 因子 / 单一客户</t>
        </is>
      </c>
      <c r="F31" s="47" t="n"/>
    </row>
    <row r="33" ht="22.05" customHeight="1" s="42">
      <c r="A33" s="43" t="inlineStr">
        <is>
          <t>D. 风险地图（只填会改变动作的）</t>
        </is>
      </c>
    </row>
    <row r="34" ht="22.05" customHeight="1" s="42">
      <c r="A34" s="51" t="inlineStr">
        <is>
          <t>类型</t>
        </is>
      </c>
      <c r="B34" s="51" t="inlineStr">
        <is>
          <t>是否相关</t>
        </is>
      </c>
      <c r="C34" s="51" t="inlineStr">
        <is>
          <t>具体内容</t>
        </is>
      </c>
      <c r="D34" s="51" t="inlineStr">
        <is>
          <t>监控指标</t>
        </is>
      </c>
      <c r="E34" s="51" t="inlineStr">
        <is>
          <t>仓位含义</t>
        </is>
      </c>
      <c r="F34" s="51" t="inlineStr">
        <is>
          <t>状态</t>
        </is>
      </c>
    </row>
    <row r="35" ht="26" customHeight="1" s="42">
      <c r="A35" s="9" t="inlineStr">
        <is>
          <t>经营</t>
        </is>
      </c>
      <c r="B35" s="48" t="inlineStr">
        <is>
          <t>是</t>
        </is>
      </c>
      <c r="C35" s="65" t="inlineStr">
        <is>
          <t>道路流量可比口径约降1%，物流应占经营溢利降13%，建筑降4%。金融增19%抵消了这些。</t>
        </is>
      </c>
      <c r="D35" s="45" t="inlineStr">
        <is>
          <t>销量/ASP、毛利率、份额</t>
        </is>
      </c>
      <c r="E35" s="45" t="inlineStr">
        <is>
          <t>论点伤了就减或清</t>
        </is>
      </c>
      <c r="F35" s="48" t="inlineStr">
        <is>
          <t>观察</t>
        </is>
      </c>
    </row>
    <row r="36" ht="26" customHeight="1" s="42">
      <c r="A36" s="9" t="inlineStr">
        <is>
          <t>财务</t>
        </is>
      </c>
      <c r="B36" s="48" t="inlineStr">
        <is>
          <t>是</t>
        </is>
      </c>
      <c r="C36" s="41" t="inlineStr">
        <is>
          <t>净负债比率0.28，但一年内到期债务仍约79亿，派息比例高于1。</t>
        </is>
      </c>
      <c r="D36" s="45" t="inlineStr">
        <is>
          <t>净负债、利息覆盖、FCF</t>
        </is>
      </c>
      <c r="E36" s="45" t="inlineStr">
        <is>
          <t>杠杆高则硬性缩小仓</t>
        </is>
      </c>
      <c r="F36" s="48" t="inlineStr">
        <is>
          <t>观察</t>
        </is>
      </c>
    </row>
    <row r="37" ht="26" customHeight="1" s="42">
      <c r="A37" s="9" t="inlineStr">
        <is>
          <t>估值</t>
        </is>
      </c>
      <c r="B37" s="48" t="inlineStr">
        <is>
          <t>是</t>
        </is>
      </c>
      <c r="C37" s="41" t="inlineStr">
        <is>
          <t>8.40高于基准6.36。贵，所以公式给出的仓位只是上限。</t>
        </is>
      </c>
      <c r="D37" s="45" t="inlineStr">
        <is>
          <t>PE 分位、久期、WACC</t>
        </is>
      </c>
      <c r="E37" s="45" t="inlineStr">
        <is>
          <t>贵的时候少配</t>
        </is>
      </c>
      <c r="F37" s="48" t="inlineStr">
        <is>
          <t>观察</t>
        </is>
      </c>
    </row>
    <row r="38" ht="26" customHeight="1" s="42">
      <c r="A38" s="9" t="inlineStr">
        <is>
          <t>市场</t>
        </is>
      </c>
      <c r="B38" s="48" t="inlineStr">
        <is>
          <t>是</t>
        </is>
      </c>
      <c r="C38" s="65" t="inlineStr">
        <is>
          <t>要闻写10年期美债上行至5.20%附近，复盘不把互相冲突的收益率合成一个收盘点。利率高时，股息股仍要看现金是否真能支付。</t>
        </is>
      </c>
      <c r="D38" s="45" t="inlineStr">
        <is>
          <t>Beta、波动、最大回撤</t>
        </is>
      </c>
      <c r="E38" s="45" t="inlineStr">
        <is>
          <t>按波动倒数仓位</t>
        </is>
      </c>
      <c r="F38" s="48" t="inlineStr">
        <is>
          <t>观察</t>
        </is>
      </c>
    </row>
    <row r="39" ht="26" customHeight="1" s="42">
      <c r="A39" s="9" t="inlineStr">
        <is>
          <t>流动性</t>
        </is>
      </c>
      <c r="B39" s="48" t="inlineStr">
        <is>
          <t>否</t>
        </is>
      </c>
      <c r="C39" s="65" t="inlineStr">
        <is>
          <t>20日日均成交额13505549港元，中位数7040156。流动性不约束这个研究仓。</t>
        </is>
      </c>
      <c r="D39" s="45" t="inlineStr">
        <is>
          <t>日均成交、价差</t>
        </is>
      </c>
      <c r="E39" s="45" t="inlineStr">
        <is>
          <t>限制绝对金额</t>
        </is>
      </c>
      <c r="F39" s="48" t="inlineStr">
        <is>
          <t>观察</t>
        </is>
      </c>
    </row>
    <row r="40" ht="26" customHeight="1" s="42">
      <c r="A40" s="9" t="inlineStr">
        <is>
          <t>治理/政策</t>
        </is>
      </c>
      <c r="B40" s="48" t="inlineStr">
        <is>
          <t>是</t>
        </is>
      </c>
      <c r="C40" s="65" t="inlineStr">
        <is>
          <t>建议中的红股和已转换的可换股债券改变每股数字。0.75%可交换债券以公允价值入账，计入后净负债比率为0.33。</t>
        </is>
      </c>
      <c r="D40" s="45" t="inlineStr">
        <is>
          <t>增发、关联交易、监管</t>
        </is>
      </c>
      <c r="E40" s="45" t="inlineStr">
        <is>
          <t>一票否决或观察仓</t>
        </is>
      </c>
      <c r="F40" s="48" t="inlineStr">
        <is>
          <t>观察</t>
        </is>
      </c>
    </row>
  </sheetData>
  <mergeCells count="24">
    <mergeCell ref="C8:F8"/>
    <mergeCell ref="C7:F7"/>
    <mergeCell ref="B29:D29"/>
    <mergeCell ref="A3:F3"/>
    <mergeCell ref="A33:F33"/>
    <mergeCell ref="A2:F2"/>
    <mergeCell ref="B28:D28"/>
    <mergeCell ref="E29:F29"/>
    <mergeCell ref="A5:F5"/>
    <mergeCell ref="C6:F6"/>
    <mergeCell ref="E28:F28"/>
    <mergeCell ref="B30:D30"/>
    <mergeCell ref="E31:F31"/>
    <mergeCell ref="E30:F30"/>
    <mergeCell ref="A19:F19"/>
    <mergeCell ref="B26:D26"/>
    <mergeCell ref="E27:F27"/>
    <mergeCell ref="C10:F10"/>
    <mergeCell ref="E26:F26"/>
    <mergeCell ref="C9:F9"/>
    <mergeCell ref="B31:D31"/>
    <mergeCell ref="A1:F1"/>
    <mergeCell ref="B27:D27"/>
    <mergeCell ref="A25:F25"/>
  </mergeCells>
  <dataValidations count="3">
    <dataValidation sqref="F21:F23" showDropDown="0" showInputMessage="0" showErrorMessage="0" allowBlank="1" errorTitle="无效输入" error="请从下拉列表选择" promptTitle="填写" prompt="从列表选择" type="list">
      <formula1>"高,中,低"</formula1>
    </dataValidation>
    <dataValidation sqref="B35:B40" showDropDown="0" showInputMessage="0" showErrorMessage="0" allowBlank="1" errorTitle="无效输入" error="请从下拉列表选择" promptTitle="填写" prompt="从列表选择" type="list">
      <formula1>"是,否,待判"</formula1>
    </dataValidation>
    <dataValidation sqref="F35:F40" showDropDown="0" showInputMessage="0" showErrorMessage="0" allowBlank="1" errorTitle="无效输入" error="请从下拉列表选择" promptTitle="填写" prompt="从列表选择" type="list">
      <formula1>"观察,跟踪,一票否决"</formula1>
    </dataValidation>
  </dataValidations>
  <printOptions horizontalCentered="1"/>
  <pageMargins left="0.5" right="0.5" top="0.6" bottom="0.6" header="0.5" footer="0.5"/>
  <pageSetup orientation="portrait" paperSize="9" fitToHeight="0"/>
</worksheet>
</file>

<file path=xl/worksheets/sheet9.xml><?xml version="1.0" encoding="utf-8"?>
<worksheet xmlns="http://schemas.openxmlformats.org/spreadsheetml/2006/main">
  <sheetPr>
    <tabColor rgb="FF1F4E79"/>
    <outlinePr summaryBelow="1" summaryRight="1"/>
    <pageSetUpPr fitToPage="1"/>
  </sheetPr>
  <dimension ref="A1:F34"/>
  <sheetViews>
    <sheetView showGridLines="0" workbookViewId="0">
      <pane ySplit="1" topLeftCell="A2" activePane="bottomLeft" state="frozen"/>
      <selection pane="bottomLeft" activeCell="A1" sqref="A1"/>
    </sheetView>
  </sheetViews>
  <sheetFormatPr baseColWidth="8" defaultRowHeight="13.5"/>
  <cols>
    <col width="20" customWidth="1" style="42" min="1" max="1"/>
    <col width="16" customWidth="1" style="42" min="2" max="5"/>
    <col width="28" customWidth="1" style="42" min="6" max="6"/>
  </cols>
  <sheetData>
    <row r="1" ht="28.05" customHeight="1" s="42">
      <c r="A1" s="53" t="inlineStr">
        <is>
          <t>个股备忘录  ·  写完就能存档</t>
        </is>
      </c>
      <c r="B1" s="46" t="n"/>
      <c r="C1" s="46" t="n"/>
      <c r="D1" s="46" t="n"/>
      <c r="E1" s="46" t="n"/>
      <c r="F1" s="47" t="n"/>
    </row>
    <row r="2">
      <c r="A2" s="58">
        <f>"【"&amp;IF(封面!B5="","代码未填",封面!B5)&amp;"】 "&amp;封面!B6&amp;"  |  "&amp;封面!B7&amp;"  |  "&amp;TEXT(封面!B8,"YYYY-MM-DD")&amp;"  |  动作："&amp;封面!B19</f>
        <v/>
      </c>
      <c r="B2" s="46" t="n"/>
      <c r="C2" s="46" t="n"/>
      <c r="D2" s="46" t="n"/>
      <c r="E2" s="46" t="n"/>
      <c r="F2" s="47" t="n"/>
    </row>
    <row r="3" ht="36" customHeight="1" s="42">
      <c r="A3" s="49" t="inlineStr">
        <is>
          <t>结构：执行摘要 → 公司 → 行业 → 财务 → 估值 → 情绪 → 催化剂 → 风险 → 动作。把黄格里的提示换成事实和来源。打印本表即可作为研究报告。</t>
        </is>
      </c>
    </row>
    <row r="5" ht="36" customHeight="1" s="42">
      <c r="A5" s="58">
        <f>"论点："&amp;封面!B13</f>
        <v/>
      </c>
      <c r="B5" s="46" t="n"/>
      <c r="C5" s="46" t="n"/>
      <c r="D5" s="46" t="n"/>
      <c r="E5" s="46" t="n"/>
      <c r="F5" s="47" t="n"/>
    </row>
    <row r="7" ht="22.05" customHeight="1" s="42">
      <c r="A7" s="43" t="inlineStr">
        <is>
          <t>0. 执行摘要</t>
        </is>
      </c>
    </row>
    <row r="8" ht="32" customHeight="1" s="42">
      <c r="A8" s="65" t="inlineStr">
        <is>
          <t>① 内在价值：贵。概率加权价6.47港元，比现价8.40低22.9%。② 近月方向：中性。业绩日上涨，恒指下跌，不是连板。③ 动作：等待，不在8.40建仓。区间：4.50 ~ 8.68 HKD。最大风险：普通股息相对股东应占溢利的派息比例为1.16，经营现金流金额仍待查。云端无 Excel，汇总按模板公式计算。 F=4（缺项，仅供参考，6/9），Z=缺项，M=-2.93（未触发阈值；缺AQI/TATA，公式按0计入）。仓位上限1.67%，对应假设组合100万港元里的16667港元。</t>
        </is>
      </c>
      <c r="B8" s="66" t="n"/>
      <c r="C8" s="66" t="n"/>
      <c r="D8" s="66" t="n"/>
      <c r="E8" s="66" t="n"/>
      <c r="F8" s="67" t="n"/>
    </row>
    <row r="9" ht="32" customHeight="1" s="42">
      <c r="A9" s="68" t="n"/>
      <c r="B9" s="69" t="n"/>
      <c r="C9" s="69" t="n"/>
      <c r="D9" s="69" t="n"/>
      <c r="E9" s="69" t="n"/>
      <c r="F9" s="70" t="n"/>
    </row>
    <row r="10" ht="22.05" customHeight="1" s="42">
      <c r="A10" s="43" t="inlineStr">
        <is>
          <t>1. 公司与商业模式</t>
        </is>
      </c>
    </row>
    <row r="11" ht="32" customHeight="1" s="42">
      <c r="A11" s="65" t="inlineStr">
        <is>
          <t>周大福创建（CTF Services，00659）经营收费公路、人寿保险、物流、建筑和设施管理。FY2026对外收入27,099.7百万港元（建筑17,915.8、金融4,752.4、道路2,777.8、设施1,509.5、物流144.2）。股东应占溢利2,392.6，基本每股盈利0.53，摊薄0.52。加权平均股数4,498.4百万股。期末股本4,566.3百万股。主席郑家纯。近12个月的大事是2025年12月已派发的十送一、2.8%可换股债券转股，以及9月24日的全年业绩。来源：港交所2026-09-24业绩公告。</t>
        </is>
      </c>
      <c r="B11" s="66" t="n"/>
      <c r="C11" s="66" t="n"/>
      <c r="D11" s="66" t="n"/>
      <c r="E11" s="66" t="n"/>
      <c r="F11" s="67" t="n"/>
    </row>
    <row r="12" ht="32" customHeight="1" s="42">
      <c r="A12" s="68" t="n"/>
      <c r="B12" s="69" t="n"/>
      <c r="C12" s="69" t="n"/>
      <c r="D12" s="69" t="n"/>
      <c r="E12" s="69" t="n"/>
      <c r="F12" s="70" t="n"/>
    </row>
    <row r="13" ht="22.05" customHeight="1" s="42">
      <c r="A13" s="43" t="inlineStr">
        <is>
          <t>2. 行业与竞争</t>
        </is>
      </c>
    </row>
    <row r="14" ht="32" customHeight="1" s="42">
      <c r="A14" s="65" t="inlineStr">
        <is>
          <t>周期位置是业绩公布日，不是行业景气总开关。当日要闻的两条主线是甲骨文Project Jupiter不可抗力和埃斯孔迪达复产评估，都没有点名这家公司，不能写成订单。要闻写A股9月25日起休市；复盘写港股通暂停，恒指收24510.09、跌1.01%，全日成交1,022.03亿港元。应占经营溢利：金融1,474.7（+19%）、道路1,442.8（持平）、建筑688.9（-4%）、物流645.0（-13%）、策略性投资251.4、设施87.8。同行中位数待查，不填。资本成本的背景是公告里的平均借贷成本约4.1%，以及要闻里长端美债处于2007年以来高位附近。</t>
        </is>
      </c>
      <c r="B14" s="66" t="n"/>
      <c r="C14" s="66" t="n"/>
      <c r="D14" s="66" t="n"/>
      <c r="E14" s="66" t="n"/>
      <c r="F14" s="67" t="n"/>
    </row>
    <row r="15" ht="32" customHeight="1" s="42">
      <c r="A15" s="68" t="n"/>
      <c r="B15" s="69" t="n"/>
      <c r="C15" s="69" t="n"/>
      <c r="D15" s="69" t="n"/>
      <c r="E15" s="69" t="n"/>
      <c r="F15" s="70" t="n"/>
    </row>
    <row r="16" ht="22.05" customHeight="1" s="42">
      <c r="A16" s="43" t="inlineStr">
        <is>
          <t>3. 财务质量</t>
        </is>
      </c>
    </row>
    <row r="17" ht="32" customHeight="1" s="42">
      <c r="A17" s="65" t="inlineStr">
        <is>
          <t>只有FY2025和FY2026两列来自同一份公告，更早年度待查，避免把对不上的数据库旧数混进来。收入24285.3到27099.7。毛利率0.163到0.148，口径是收入减销售成本减保险服务费用。股东应占溢利2162.0到2392.6。经营现金流金额待查，方向为净流入。期末ROE 0.060。近似ROIC 0.057。现金转化待查。保险合约负债93,743.5，所以原版制造业Z和流动比率都不适用，评分表改用非制造模型，但流动资产、流动负债和留存收益仍缺，Z为缺项。可信度B：利润、资产和股息与经审核业绩公告核对过，现金流量表不在这份公告里。</t>
        </is>
      </c>
      <c r="B17" s="66" t="n"/>
      <c r="C17" s="66" t="n"/>
      <c r="D17" s="66" t="n"/>
      <c r="E17" s="66" t="n"/>
      <c r="F17" s="67" t="n"/>
    </row>
    <row r="18" ht="32" customHeight="1" s="42">
      <c r="A18" s="68" t="n"/>
      <c r="B18" s="69" t="n"/>
      <c r="C18" s="69" t="n"/>
      <c r="D18" s="69" t="n"/>
      <c r="E18" s="69" t="n"/>
      <c r="F18" s="70" t="n"/>
    </row>
    <row r="19" ht="22.05" customHeight="1" s="42">
      <c r="A19" s="43" t="inlineStr">
        <is>
          <t>4. 估值</t>
        </is>
      </c>
    </row>
    <row r="20" ht="32" customHeight="1" s="42">
      <c r="A20" s="65" t="inlineStr">
        <is>
          <t>相对：现价8.40除以基本每股盈利0.53，市盈率15.85；市值38356.9百万港元除以股东权益39717.8，市净率0.97。五年中位数和同行中位数待查。绝对：熊市每股盈利0.45×10倍=4.50（概率0.25）；基准0.53×12倍=6.36（概率0.50）；牛市0.62×14倍=8.68（概率0.25）。概率合计1。概率加权6.47，相对现价-22.9%。这些每股盈利和倍数是假设。红股若通过，总股权价值不变，每股数字要除以1.1，不把送股写成上涨空间。</t>
        </is>
      </c>
      <c r="B20" s="66" t="n"/>
      <c r="C20" s="66" t="n"/>
      <c r="D20" s="66" t="n"/>
      <c r="E20" s="66" t="n"/>
      <c r="F20" s="67" t="n"/>
    </row>
    <row r="21" ht="32" customHeight="1" s="42">
      <c r="A21" s="68" t="n"/>
      <c r="B21" s="69" t="n"/>
      <c r="C21" s="69" t="n"/>
      <c r="D21" s="69" t="n"/>
      <c r="E21" s="69" t="n"/>
      <c r="F21" s="70" t="n"/>
    </row>
    <row r="22" ht="22.05" customHeight="1" s="42">
      <c r="A22" s="43" t="inlineStr">
        <is>
          <t>5. 情绪与预期差</t>
        </is>
      </c>
    </row>
    <row r="23" ht="32" customHeight="1" s="42">
      <c r="A23" s="65" t="inlineStr">
        <is>
          <t>叙事一句：全年业绩增长和现金股息。拥挤度中。一致预期没有公司口径。市场已定价FY2026的11%利润增长。我额外押的是空的：8.40不交易。复盘把公告里的十送一读成2025年12月已发行、只用于调整股息比较基数。公告「末期股息及派发红股」一节同时建议向2026年11月23日名册股东按每十股现有股份获发一股红股，须11月17日股东会通过。本备忘录以公告正文为准，并写明复盘的不同读法。要闻没有点名这只股票。</t>
        </is>
      </c>
      <c r="B23" s="66" t="n"/>
      <c r="C23" s="66" t="n"/>
      <c r="D23" s="66" t="n"/>
      <c r="E23" s="66" t="n"/>
      <c r="F23" s="67" t="n"/>
    </row>
    <row r="24" ht="32" customHeight="1" s="42">
      <c r="A24" s="68" t="n"/>
      <c r="B24" s="69" t="n"/>
      <c r="C24" s="69" t="n"/>
      <c r="D24" s="69" t="n"/>
      <c r="E24" s="69" t="n"/>
      <c r="F24" s="70" t="n"/>
    </row>
    <row r="25" ht="22.05" customHeight="1" s="42">
      <c r="A25" s="43" t="inlineStr">
        <is>
          <t>6. 催化剂（3–12 个月）</t>
        </is>
      </c>
    </row>
    <row r="26" ht="32" customHeight="1" s="42">
      <c r="A26" s="65" t="inlineStr">
        <is>
          <t>事件：2026-11-17股东周年大会，决定末期息0.33港元和红股。若红股通过，看新股数下的每股盈利是否仍能覆盖股息，不把除净缺口当成买入信号。若不通过，维持等待。下一份硬数据是FY2027中期的股东应占溢利和现金流量表。怀来数据中心70%权益预计2026年四季度完成，这是公司自己的投资，不是甲骨文不可抗力的订单。</t>
        </is>
      </c>
      <c r="B26" s="66" t="n"/>
      <c r="C26" s="66" t="n"/>
      <c r="D26" s="66" t="n"/>
      <c r="E26" s="66" t="n"/>
      <c r="F26" s="67" t="n"/>
    </row>
    <row r="27" ht="32" customHeight="1" s="42">
      <c r="A27" s="68" t="n"/>
      <c r="B27" s="69" t="n"/>
      <c r="C27" s="69" t="n"/>
      <c r="D27" s="69" t="n"/>
      <c r="E27" s="69" t="n"/>
      <c r="F27" s="70" t="n"/>
    </row>
    <row r="28" ht="22.05" customHeight="1" s="42">
      <c r="A28" s="43" t="inlineStr">
        <is>
          <t>7. 风险与 Pre-mortem</t>
        </is>
      </c>
    </row>
    <row r="29" ht="32" customHeight="1" s="42">
      <c r="A29" s="65" t="inlineStr">
        <is>
          <t>一年后失败的原因：第一，经营现金流覆盖不了约28亿港元普通股息，派息比例1.16被证明不可持续。第二，保险投资波动使金融板块不再抵消物流和道路的疲弱，股东应占溢利同比下降超过15%。第三，净负债比率回到0.37以上，或把0.75%可交换债券算入后的0.33继续上升。监控分别是现金流量表、偿付能力充足率和净负债比率。攻击核心论点的是第一条。</t>
        </is>
      </c>
      <c r="B29" s="66" t="n"/>
      <c r="C29" s="66" t="n"/>
      <c r="D29" s="66" t="n"/>
      <c r="E29" s="66" t="n"/>
      <c r="F29" s="67" t="n"/>
    </row>
    <row r="30" ht="32" customHeight="1" s="42">
      <c r="A30" s="68" t="n"/>
      <c r="B30" s="69" t="n"/>
      <c r="C30" s="69" t="n"/>
      <c r="D30" s="69" t="n"/>
      <c r="E30" s="69" t="n"/>
      <c r="F30" s="70" t="n"/>
    </row>
    <row r="31" ht="22.05" customHeight="1" s="42">
      <c r="A31" s="43" t="inlineStr">
        <is>
          <t>8. 动作与观察清单</t>
        </is>
      </c>
    </row>
    <row r="32" ht="32" customHeight="1" s="42">
      <c r="A32" s="65" t="inlineStr">
        <is>
          <t>仓位上限1.67%。假设组合权益100万港元，单票风险预算0.005，证伪跌幅0.30。建议金额16667港元，约1984股，这是上限不是买单。20日日均成交额13505549港元（2026-08-31至2026-09-25，中位数7040156），流动性上限不构成约束。建仓区间：现价不买；重新讨论需见6.36港元附近且现金流量表已覆盖股息。证伪条件见风险表。下次复盘：2026-11-17。仅供研究备忘，不构成投资建议。</t>
        </is>
      </c>
      <c r="B32" s="66" t="n"/>
      <c r="C32" s="66" t="n"/>
      <c r="D32" s="66" t="n"/>
      <c r="E32" s="66" t="n"/>
      <c r="F32" s="67" t="n"/>
    </row>
    <row r="33" ht="32" customHeight="1" s="42">
      <c r="A33" s="68" t="n"/>
      <c r="B33" s="69" t="n"/>
      <c r="C33" s="69" t="n"/>
      <c r="D33" s="69" t="n"/>
      <c r="E33" s="69" t="n"/>
      <c r="F33" s="70" t="n"/>
    </row>
    <row r="34">
      <c r="A34" s="45" t="inlineStr">
        <is>
          <t>声明：本研究记录仅供个人决策备忘，不构成投资建议。</t>
        </is>
      </c>
      <c r="B34" s="46" t="n"/>
      <c r="C34" s="46" t="n"/>
      <c r="D34" s="46" t="n"/>
      <c r="E34" s="46" t="n"/>
      <c r="F34" s="47" t="n"/>
    </row>
  </sheetData>
  <mergeCells count="23">
    <mergeCell ref="A16:F16"/>
    <mergeCell ref="A23:F24"/>
    <mergeCell ref="A3:F3"/>
    <mergeCell ref="A2:F2"/>
    <mergeCell ref="A11:F12"/>
    <mergeCell ref="A5:F5"/>
    <mergeCell ref="A22:F22"/>
    <mergeCell ref="A10:F10"/>
    <mergeCell ref="A28:F28"/>
    <mergeCell ref="A13:F13"/>
    <mergeCell ref="A19:F19"/>
    <mergeCell ref="A31:F31"/>
    <mergeCell ref="A34:F34"/>
    <mergeCell ref="A26:F27"/>
    <mergeCell ref="A32:F33"/>
    <mergeCell ref="A14:F15"/>
    <mergeCell ref="A1:F1"/>
    <mergeCell ref="A17:F18"/>
    <mergeCell ref="A8:F9"/>
    <mergeCell ref="A20:F21"/>
    <mergeCell ref="A7:F7"/>
    <mergeCell ref="A25:F25"/>
    <mergeCell ref="A29:F30"/>
  </mergeCells>
  <printOptions horizontalCentered="1"/>
  <pageMargins left="0.5" right="0.5" top="0.6" bottom="0.6" header="0.5" footer="0.5"/>
  <pageSetup orientation="portrait" paperSize="9" fitToHeight="0"/>
</worksheet>
</file>

<file path=xl/worksheets/sheet10.xml><?xml version="1.0" encoding="utf-8"?>
<worksheet xmlns="http://schemas.openxmlformats.org/spreadsheetml/2006/main">
  <sheetPr>
    <tabColor rgb="FF595959"/>
    <outlinePr summaryBelow="1" summaryRight="1"/>
    <pageSetUpPr fitToPage="1"/>
  </sheetPr>
  <dimension ref="A1:F22"/>
  <sheetViews>
    <sheetView showGridLines="0" workbookViewId="0">
      <pane ySplit="1" topLeftCell="A2" activePane="bottomLeft" state="frozen"/>
      <selection pane="bottomLeft" activeCell="A1" sqref="A1"/>
    </sheetView>
  </sheetViews>
  <sheetFormatPr baseColWidth="8" defaultRowHeight="13.5"/>
  <cols>
    <col width="28" customWidth="1" style="42" min="1" max="1"/>
    <col width="16" customWidth="1" style="42" min="2" max="2"/>
    <col width="14" customWidth="1" style="42" min="3" max="3"/>
    <col width="44" customWidth="1" style="42" min="4" max="4"/>
    <col width="22" customWidth="1" style="42" min="5" max="6"/>
  </cols>
  <sheetData>
    <row r="1" ht="28.05" customHeight="1" s="42">
      <c r="A1" s="53" t="inlineStr">
        <is>
          <t>工具对照  ·  取数与模型，不是第二套流程</t>
        </is>
      </c>
      <c r="B1" s="46" t="n"/>
      <c r="C1" s="46" t="n"/>
      <c r="D1" s="46" t="n"/>
      <c r="E1" s="46" t="n"/>
      <c r="F1" s="47" t="n"/>
    </row>
    <row r="2" ht="36" customHeight="1" s="42">
      <c r="A2" s="49" t="inlineStr">
        <is>
          <t>能免费走通：年报原文 + akshare 或 yfinance + 本模板 +（可选）Damodaran 表。不要同时开五套 AI 选股工具。</t>
        </is>
      </c>
    </row>
    <row r="4" ht="22.05" customHeight="1" s="42">
      <c r="A4" s="43" t="inlineStr">
        <is>
          <t>取数</t>
        </is>
      </c>
    </row>
    <row r="5" ht="22.05" customHeight="1" s="42">
      <c r="A5" s="51" t="inlineStr">
        <is>
          <t>工具</t>
        </is>
      </c>
      <c r="B5" s="51" t="inlineStr">
        <is>
          <t>市场</t>
        </is>
      </c>
      <c r="C5" s="51" t="inlineStr">
        <is>
          <t>费用</t>
        </is>
      </c>
      <c r="D5" s="51" t="inlineStr">
        <is>
          <t>擅长</t>
        </is>
      </c>
      <c r="E5" s="51" t="inlineStr">
        <is>
          <t>链接</t>
        </is>
      </c>
      <c r="F5" s="47" t="n"/>
    </row>
    <row r="6" ht="28.05" customHeight="1" s="42">
      <c r="A6" s="62" t="inlineStr">
        <is>
          <t>AKShare</t>
        </is>
      </c>
      <c r="B6" s="62" t="inlineStr">
        <is>
          <t>A/H 为主</t>
        </is>
      </c>
      <c r="C6" s="62" t="inlineStr">
        <is>
          <t>免费</t>
        </is>
      </c>
      <c r="D6" s="62" t="inlineStr">
        <is>
          <t>行情、财务、资金、宏观；接口偶有变动</t>
        </is>
      </c>
      <c r="E6" s="62" t="inlineStr">
        <is>
          <t>github.com/akfamily/akshare</t>
        </is>
      </c>
      <c r="F6" s="47" t="n"/>
    </row>
    <row r="7" ht="28.05" customHeight="1" s="42">
      <c r="A7" s="55" t="inlineStr">
        <is>
          <t>Tushare Pro</t>
        </is>
      </c>
      <c r="B7" s="55" t="inlineStr">
        <is>
          <t>A 股</t>
        </is>
      </c>
      <c r="C7" s="55" t="inlineStr">
        <is>
          <t>注册额度</t>
        </is>
      </c>
      <c r="D7" s="55" t="inlineStr">
        <is>
          <t>财务/行情较稳，积分限制部分接口</t>
        </is>
      </c>
      <c r="E7" s="55" t="inlineStr">
        <is>
          <t>tushare.pro</t>
        </is>
      </c>
      <c r="F7" s="47" t="n"/>
    </row>
    <row r="8" ht="28.05" customHeight="1" s="42">
      <c r="A8" s="62" t="inlineStr">
        <is>
          <t>yfinance / SEC EDGAR</t>
        </is>
      </c>
      <c r="B8" s="62" t="inlineStr">
        <is>
          <t>美股</t>
        </is>
      </c>
      <c r="C8" s="62" t="inlineStr">
        <is>
          <t>免费</t>
        </is>
      </c>
      <c r="D8" s="62" t="inlineStr">
        <is>
          <t>价格与 10-K/10-Q 原文</t>
        </is>
      </c>
      <c r="E8" s="62" t="inlineStr">
        <is>
          <t>sec.gov</t>
        </is>
      </c>
      <c r="F8" s="47" t="n"/>
    </row>
    <row r="9" ht="28.05" customHeight="1" s="42">
      <c r="A9" s="55" t="inlineStr">
        <is>
          <t>东方财富 / 理杏仁</t>
        </is>
      </c>
      <c r="B9" s="55" t="inlineStr">
        <is>
          <t>A/H</t>
        </is>
      </c>
      <c r="C9" s="55" t="inlineStr">
        <is>
          <t>免费/付费</t>
        </is>
      </c>
      <c r="D9" s="55" t="inlineStr">
        <is>
          <t>一致预期、估值、资金</t>
        </is>
      </c>
      <c r="E9" s="55" t="n"/>
      <c r="F9" s="47" t="n"/>
    </row>
    <row r="10" ht="28.05" customHeight="1" s="42">
      <c r="A10" s="62" t="inlineStr">
        <is>
          <t>公司年报 / 港交所披露易</t>
        </is>
      </c>
      <c r="B10" s="62" t="inlineStr">
        <is>
          <t>A/H</t>
        </is>
      </c>
      <c r="C10" s="62" t="inlineStr">
        <is>
          <t>免费</t>
        </is>
      </c>
      <c r="D10" s="62" t="inlineStr">
        <is>
          <t>最终事实来源，关键数字必须对到此处</t>
        </is>
      </c>
      <c r="E10" s="62" t="n"/>
      <c r="F10" s="47" t="n"/>
    </row>
    <row r="12" ht="22.05" customHeight="1" s="42">
      <c r="A12" s="43" t="inlineStr">
        <is>
          <t>估值与质量</t>
        </is>
      </c>
    </row>
    <row r="13" ht="22.05" customHeight="1" s="42">
      <c r="A13" s="51" t="inlineStr">
        <is>
          <t>资源</t>
        </is>
      </c>
      <c r="B13" s="51" t="inlineStr">
        <is>
          <t>用途</t>
        </is>
      </c>
      <c r="C13" s="46" t="n"/>
      <c r="D13" s="46" t="n"/>
      <c r="E13" s="46" t="n"/>
      <c r="F13" s="47" t="n"/>
    </row>
    <row r="14" ht="32" customHeight="1" s="42">
      <c r="A14" s="9" t="inlineStr">
        <is>
          <t>Damodaran ginzu 表</t>
        </is>
      </c>
      <c r="B14" s="55" t="inlineStr">
        <is>
          <t>非金融 FCFF：pages.stern.nyu.edu/~adamodar/pc/fcffsimpleginzu.xlsx ；金融 DDM：divginzu.xlsx</t>
        </is>
      </c>
      <c r="C14" s="46" t="n"/>
      <c r="D14" s="46" t="n"/>
      <c r="E14" s="46" t="n"/>
      <c r="F14" s="47" t="n"/>
    </row>
    <row r="15" ht="32" customHeight="1" s="42">
      <c r="A15" s="9" t="inlineStr">
        <is>
          <t>本模板评分表</t>
        </is>
      </c>
      <c r="B15" s="55" t="inlineStr">
        <is>
          <t>Piotroski F、Altman Z、Beneish M 快速体检</t>
        </is>
      </c>
      <c r="C15" s="46" t="n"/>
      <c r="D15" s="46" t="n"/>
      <c r="E15" s="46" t="n"/>
      <c r="F15" s="47" t="n"/>
    </row>
    <row r="16" ht="32" customHeight="1" s="42">
      <c r="A16" s="9" t="inlineStr">
        <is>
          <t>investTemplate</t>
        </is>
      </c>
      <c r="B16" s="55" t="inlineStr">
        <is>
          <t>A/H 价值股、高股息、烟蒂、央国企深度体检（GitHub: sunheyi6/investTemplate）</t>
        </is>
      </c>
      <c r="C16" s="46" t="n"/>
      <c r="D16" s="46" t="n"/>
      <c r="E16" s="46" t="n"/>
      <c r="F16" s="47" t="n"/>
    </row>
    <row r="18" ht="22.05" customHeight="1" s="42">
      <c r="A18" s="43" t="inlineStr">
        <is>
          <t>最低可行工具链</t>
        </is>
      </c>
    </row>
    <row r="19" ht="28.05" customHeight="1" s="42">
      <c r="A19" s="55" t="inlineStr">
        <is>
          <t>· A 股：年报 PDF + 本模板 + 东方财富一致预期。深度价值再上 investTemplate。</t>
        </is>
      </c>
      <c r="B19" s="46" t="n"/>
      <c r="C19" s="46" t="n"/>
      <c r="D19" s="46" t="n"/>
      <c r="E19" s="46" t="n"/>
      <c r="F19" s="47" t="n"/>
    </row>
    <row r="20" ht="28.05" customHeight="1" s="42">
      <c r="A20" s="55" t="inlineStr">
        <is>
          <t>· 港股：年报 / 披露易 + 本模板。代码用 0992.HK 这种 Yahoo 形式便于对照行情。</t>
        </is>
      </c>
      <c r="B20" s="46" t="n"/>
      <c r="C20" s="46" t="n"/>
      <c r="D20" s="46" t="n"/>
      <c r="E20" s="46" t="n"/>
      <c r="F20" s="47" t="n"/>
    </row>
    <row r="21" ht="28.05" customHeight="1" s="42">
      <c r="A21" s="55" t="inlineStr">
        <is>
          <t>· 美股：10-K + 本模板 +（可选）Damodaran + 期权 IV。</t>
        </is>
      </c>
      <c r="B21" s="46" t="n"/>
      <c r="C21" s="46" t="n"/>
      <c r="D21" s="46" t="n"/>
      <c r="E21" s="46" t="n"/>
      <c r="F21" s="47" t="n"/>
    </row>
    <row r="22" ht="28.05" customHeight="1" s="42">
      <c r="A22" s="55" t="inlineStr">
        <is>
          <t>· 本模板不代替年报。黄格里的每一个关键数字都应该能指回一页财报或一份公告。</t>
        </is>
      </c>
      <c r="B22" s="46" t="n"/>
      <c r="C22" s="46" t="n"/>
      <c r="D22" s="46" t="n"/>
      <c r="E22" s="46" t="n"/>
      <c r="F22" s="47" t="n"/>
    </row>
  </sheetData>
  <mergeCells count="19">
    <mergeCell ref="B16:F16"/>
    <mergeCell ref="E5:F5"/>
    <mergeCell ref="A12:F12"/>
    <mergeCell ref="A18:F18"/>
    <mergeCell ref="A21:F21"/>
    <mergeCell ref="E8:F8"/>
    <mergeCell ref="A2:F2"/>
    <mergeCell ref="E10:F10"/>
    <mergeCell ref="A22:F22"/>
    <mergeCell ref="A4:F4"/>
    <mergeCell ref="B14:F14"/>
    <mergeCell ref="A20:F20"/>
    <mergeCell ref="E9:F9"/>
    <mergeCell ref="B13:F13"/>
    <mergeCell ref="E6:F6"/>
    <mergeCell ref="A19:F19"/>
    <mergeCell ref="E7:F7"/>
    <mergeCell ref="B15:F15"/>
    <mergeCell ref="A1:F1"/>
  </mergeCells>
  <printOptions horizontalCentered="1"/>
  <pageMargins left="0.5" right="0.5" top="0.6" bottom="0.6" header="0.5" footer="0.5"/>
  <pageSetup orientation="landscape" paperSize="9"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Stock Analysis Toolkit</dc:creator>
  <dc:title xmlns:dc="http://purl.org/dc/elements/1.1/">个股分析工具箱</dc:title>
  <dcterms:created xmlns:dcterms="http://purl.org/dc/terms/" xmlns:xsi="http://www.w3.org/2001/XMLSchema-instance" xsi:type="dcterms:W3CDTF">2026-08-26T04:21:23Z</dcterms:created>
  <dcterms:modified xmlns:dcterms="http://purl.org/dc/terms/" xmlns:xsi="http://www.w3.org/2001/XMLSchema-instance" xsi:type="dcterms:W3CDTF">2026-09-25T19:18:22Z</dcterms:modified>
  <cp:lastModifiedBy>张哥</cp:lastModifiedBy>
</cp:coreProperties>
</file>