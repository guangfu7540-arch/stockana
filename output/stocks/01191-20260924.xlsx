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top" wrapText="1"/>
    </xf>
    <xf numFmtId="170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7" fillId="8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3"/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0"/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7"/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3"/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3"/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63" t="inlineStr">
        <is>
          <t>01191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3" t="inlineStr">
        <is>
          <t>海光芯正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3" t="inlineStr">
        <is>
          <t>港股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4" t="n">
        <v>46289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5" t="n">
        <v>168.2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3" t="inlineStr">
        <is>
          <t>HKD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3" t="inlineStr">
        <is>
          <t>光模块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3" t="inlineStr">
        <is>
          <t>FY2025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3" t="inlineStr">
        <is>
          <t>收入在增长，但最近三个完整年度经营现金流都是负的，初筛排除，不把2027年订单指引折成目标价。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5"/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3" t="inlineStr">
        <is>
          <t>未建模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3" t="inlineStr">
        <is>
          <t>偏空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3" t="inlineStr">
        <is>
          <t>排除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3" t="inlineStr">
        <is>
          <t>C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3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3" t="inlineStr">
        <is>
          <t>股价交易的是排到2027年的订单口述，报表上的经营现金流连续三年为负。</t>
        </is>
      </c>
      <c r="C22" s="47" t="n"/>
      <c r="D22" s="45" t="inlineStr">
        <is>
          <t>会推翻论点的那一条</t>
        </is>
      </c>
      <c r="E22" s="46" t="n"/>
      <c r="F22" s="47" t="n"/>
    </row>
    <row r="23"/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6"/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4"/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3" t="inlineStr">
        <is>
          <t>是</t>
        </is>
      </c>
      <c r="D6" s="63" t="inlineStr">
        <is>
          <t>雅虎行业为电子元件。FY2025收入12.21亿港元，毛利1.10亿港元。复盘称其光模块订单指引排至2027年。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3" t="inlineStr">
        <is>
          <t>待查</t>
        </is>
      </c>
      <c r="D7" s="63" t="inlineStr">
        <is>
          <t>FY2025筹资现金流里发行股份收到4.60亿港元。亏损期间融资是危险信号，但实控人是否把公司当融资工具，本次没有核对到披露易原文，记待查。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3" t="inlineStr">
        <is>
          <t>否</t>
        </is>
      </c>
      <c r="D8" s="63" t="inlineStr">
        <is>
          <t>否。FY2025经营现金流-3.591亿港元，为负；净利润-1.001亿港元。FY2024、FY2023经营现金流分别为-2.548亿、-0.910亿港元，连续三年为负。雅虎年度现金流量表。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3" t="inlineStr">
        <is>
          <t>否</t>
        </is>
      </c>
      <c r="D9" s="63" t="inlineStr">
        <is>
          <t>否。FY2025有息负债8.52亿港元，现金3.34亿港元，流动负债10.71亿港元，EBIT -0.81亿港元。利息没有正向经营利润覆盖。雅虎资产负债表、利润表。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3" t="inlineStr">
        <is>
          <t>否</t>
        </is>
      </c>
      <c r="D10" s="63" t="inlineStr">
        <is>
          <t>否。FY2025经营利润-0.74亿港元，净利润为负，且2023、2024年净利润同为负。主业利润站不住。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3"/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3" t="inlineStr">
        <is>
          <t>销售光模块。FY2025收入12.21亿港元、毛利1.10亿港元，收费来自模块出货，成本主要在营业成本。这只说明模式听得懂，不说明现金流过关。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4"/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25" t="n"/>
      <c r="D6" s="25" t="n"/>
      <c r="E6" s="25" t="n"/>
      <c r="F6" s="25" t="n"/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百万元</t>
        </is>
      </c>
    </row>
    <row r="7" ht="20" customHeight="1" s="42">
      <c r="A7" s="9" t="inlineStr">
        <is>
          <t>营业收入</t>
        </is>
      </c>
      <c r="B7" s="76" t="n"/>
      <c r="C7" s="76" t="n"/>
      <c r="D7" s="76" t="n"/>
      <c r="E7" s="76" t="n"/>
      <c r="F7" s="76" t="n"/>
      <c r="G7" s="77">
        <f>IF(OR(E7="",E7=0,F7=""),"",(F7-E7)/E7)</f>
        <v/>
      </c>
      <c r="H7" s="28" t="n"/>
      <c r="I7" s="41" t="n"/>
    </row>
    <row r="8" ht="20" customHeight="1" s="42">
      <c r="A8" s="9" t="inlineStr">
        <is>
          <t>毛利</t>
        </is>
      </c>
      <c r="B8" s="76" t="n"/>
      <c r="C8" s="76" t="n"/>
      <c r="D8" s="76" t="n"/>
      <c r="E8" s="76" t="n"/>
      <c r="F8" s="76" t="n"/>
      <c r="G8" s="77">
        <f>IF(OR(E8="",E8=0,F8=""),"",(F8-E8)/E8)</f>
        <v/>
      </c>
      <c r="H8" s="28" t="n"/>
      <c r="I8" s="41" t="n"/>
    </row>
    <row r="9" ht="20" customHeight="1" s="42">
      <c r="A9" s="9" t="inlineStr">
        <is>
          <t>毛利率</t>
        </is>
      </c>
      <c r="B9" s="78" t="n"/>
      <c r="C9" s="78" t="n"/>
      <c r="D9" s="78" t="n"/>
      <c r="E9" s="78" t="n"/>
      <c r="F9" s="78" t="n"/>
      <c r="G9" s="77">
        <f>IF(OR(E9="",F9=""),"",F9-E9)</f>
        <v/>
      </c>
      <c r="H9" s="77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76" t="n"/>
      <c r="C10" s="76" t="n"/>
      <c r="D10" s="76" t="n"/>
      <c r="E10" s="76" t="n"/>
      <c r="F10" s="76" t="n"/>
      <c r="G10" s="77">
        <f>IF(OR(E10="",E10=0,F10=""),"",(F10-E10)/E10)</f>
        <v/>
      </c>
      <c r="H10" s="28" t="n"/>
      <c r="I10" s="41" t="n"/>
    </row>
    <row r="11" ht="20" customHeight="1" s="42">
      <c r="A11" s="9" t="inlineStr">
        <is>
          <t>净利润</t>
        </is>
      </c>
      <c r="B11" s="76" t="n"/>
      <c r="C11" s="76" t="n"/>
      <c r="D11" s="76" t="n"/>
      <c r="E11" s="76" t="n"/>
      <c r="F11" s="76" t="n"/>
      <c r="G11" s="77">
        <f>IF(OR(E11="",E11=0,F11=""),"",(F11-E11)/E11)</f>
        <v/>
      </c>
      <c r="H11" s="28" t="n"/>
      <c r="I11" s="41" t="n"/>
    </row>
    <row r="12" ht="20" customHeight="1" s="42">
      <c r="A12" s="9" t="inlineStr">
        <is>
          <t>经营现金流</t>
        </is>
      </c>
      <c r="B12" s="76" t="n"/>
      <c r="C12" s="76" t="n"/>
      <c r="D12" s="76" t="n"/>
      <c r="E12" s="76" t="n"/>
      <c r="F12" s="76" t="n"/>
      <c r="G12" s="77">
        <f>IF(OR(E12="",E12=0,F12=""),"",(F12-E12)/E12)</f>
        <v/>
      </c>
      <c r="H12" s="79">
        <f>IF(OR(F11="",F11=0,F12=""),"",F12/F11)</f>
        <v/>
      </c>
      <c r="I12" s="41" t="n"/>
    </row>
    <row r="13" ht="20" customHeight="1" s="42">
      <c r="A13" s="9" t="inlineStr">
        <is>
          <t>资本开支</t>
        </is>
      </c>
      <c r="B13" s="76" t="n"/>
      <c r="C13" s="76" t="n"/>
      <c r="D13" s="76" t="n"/>
      <c r="E13" s="76" t="n"/>
      <c r="F13" s="76" t="n"/>
      <c r="G13" s="77">
        <f>IF(OR(E13="",E13=0,F13=""),"",(F13-E13)/E13)</f>
        <v/>
      </c>
      <c r="H13" s="28" t="n"/>
      <c r="I13" s="41" t="n"/>
    </row>
    <row r="14" ht="20" customHeight="1" s="42">
      <c r="A14" s="9" t="inlineStr">
        <is>
          <t>自由现金流</t>
        </is>
      </c>
      <c r="B14" s="76" t="n"/>
      <c r="C14" s="76" t="n"/>
      <c r="D14" s="76" t="n"/>
      <c r="E14" s="76" t="n"/>
      <c r="F14" s="76" t="n"/>
      <c r="G14" s="77">
        <f>IF(OR(E14="",E14=0,F14=""),"",(F14-E14)/E14)</f>
        <v/>
      </c>
      <c r="H14" s="80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8" t="n"/>
      <c r="C15" s="78" t="n"/>
      <c r="D15" s="78" t="n"/>
      <c r="E15" s="78" t="n"/>
      <c r="F15" s="78" t="n"/>
      <c r="G15" s="77">
        <f>IF(OR(E15="",F15=""),"",F15-E15)</f>
        <v/>
      </c>
      <c r="H15" s="28" t="n"/>
      <c r="I15" s="41" t="n"/>
    </row>
    <row r="16" ht="20" customHeight="1" s="42">
      <c r="A16" s="9" t="inlineStr">
        <is>
          <t>ROIC</t>
        </is>
      </c>
      <c r="B16" s="78" t="n"/>
      <c r="C16" s="78" t="n"/>
      <c r="D16" s="78" t="n"/>
      <c r="E16" s="78" t="n"/>
      <c r="F16" s="78" t="n"/>
      <c r="G16" s="77">
        <f>IF(OR(E16="",F16=""),"",F16-E16)</f>
        <v/>
      </c>
      <c r="H16" s="28" t="n"/>
      <c r="I16" s="41" t="n"/>
    </row>
    <row r="17" ht="20" customHeight="1" s="42">
      <c r="A17" s="9" t="inlineStr">
        <is>
          <t>总资产</t>
        </is>
      </c>
      <c r="B17" s="76" t="n"/>
      <c r="C17" s="76" t="n"/>
      <c r="D17" s="76" t="n"/>
      <c r="E17" s="76" t="n"/>
      <c r="F17" s="76" t="n"/>
      <c r="G17" s="77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76" t="n"/>
      <c r="C18" s="76" t="n"/>
      <c r="D18" s="76" t="n"/>
      <c r="E18" s="76" t="n"/>
      <c r="F18" s="76" t="n"/>
      <c r="G18" s="77">
        <f>IF(OR(E18="",E18=0,F18=""),"",(F18-E18)/E18)</f>
        <v/>
      </c>
      <c r="H18" s="28" t="n"/>
      <c r="I18" s="41" t="n"/>
    </row>
    <row r="19" ht="20" customHeight="1" s="42">
      <c r="A19" s="9" t="inlineStr">
        <is>
          <t>现金及等价物</t>
        </is>
      </c>
      <c r="B19" s="76" t="n"/>
      <c r="C19" s="76" t="n"/>
      <c r="D19" s="76" t="n"/>
      <c r="E19" s="76" t="n"/>
      <c r="F19" s="76" t="n"/>
      <c r="G19" s="77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76" t="n"/>
      <c r="C20" s="76" t="n"/>
      <c r="D20" s="76" t="n"/>
      <c r="E20" s="76" t="n"/>
      <c r="F20" s="76" t="n"/>
      <c r="G20" s="77">
        <f>IF(OR(E20="",E20=0,F20=""),"",(F20-E20)/E20)</f>
        <v/>
      </c>
      <c r="H20" s="80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76" t="n"/>
      <c r="C21" s="76" t="n"/>
      <c r="D21" s="76" t="n"/>
      <c r="E21" s="76" t="n"/>
      <c r="F21" s="76" t="n"/>
      <c r="G21" s="77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76" t="n"/>
      <c r="C22" s="76" t="n"/>
      <c r="D22" s="76" t="n"/>
      <c r="E22" s="76" t="n"/>
      <c r="F22" s="76" t="n"/>
      <c r="G22" s="77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76" t="n"/>
      <c r="C23" s="76" t="n"/>
      <c r="D23" s="76" t="n"/>
      <c r="E23" s="76" t="n"/>
      <c r="F23" s="76" t="n"/>
      <c r="G23" s="77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76" t="n"/>
      <c r="C24" s="76" t="n"/>
      <c r="D24" s="76" t="n"/>
      <c r="E24" s="76" t="n"/>
      <c r="F24" s="76" t="n"/>
      <c r="G24" s="77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6"/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41" t="n"/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41" t="n"/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41" t="n"/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41" t="n"/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41" t="n"/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4"/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76" t="n"/>
      <c r="C7" s="76" t="n"/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76" t="n"/>
      <c r="C8" s="76" t="n"/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76" t="n"/>
      <c r="C9" s="76" t="n"/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76" t="n"/>
      <c r="C10" s="76" t="n"/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76" t="n"/>
      <c r="C11" s="76" t="n"/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76" t="n"/>
      <c r="C12" s="76" t="n"/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76" t="n"/>
      <c r="C13" s="76" t="n"/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76" t="n"/>
      <c r="C14" s="76" t="n"/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76" t="n"/>
      <c r="C15" s="76" t="n"/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76" t="n"/>
      <c r="C16" s="76" t="n"/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76" t="n"/>
      <c r="C17" s="76" t="n"/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76" t="n"/>
      <c r="C18" s="76" t="n"/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76" t="n"/>
      <c r="C19" s="76" t="n"/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76" t="n"/>
      <c r="C20" s="76" t="n"/>
      <c r="D20" s="45" t="inlineStr">
        <is>
          <t>留空则用右边自动值</t>
        </is>
      </c>
      <c r="E20" s="80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76" t="n"/>
      <c r="C21" s="76" t="n"/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76" t="n"/>
      <c r="C22" s="76" t="n"/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76" t="n"/>
      <c r="C23" s="76" t="n"/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76" t="n"/>
      <c r="C24" s="76" t="n"/>
      <c r="D24" s="45" t="inlineStr">
        <is>
          <t>M 分数用；没有可留空</t>
        </is>
      </c>
      <c r="E24" s="46" t="n"/>
      <c r="F24" s="47" t="n"/>
    </row>
    <row r="25"/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8"/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1"/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0"/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1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1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1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1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1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1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1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1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1"/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3"/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4"/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待判</t>
        </is>
      </c>
      <c r="C7" s="41" t="n"/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待判</t>
        </is>
      </c>
      <c r="C8" s="41" t="n"/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待判</t>
        </is>
      </c>
      <c r="C9" s="41" t="n"/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待判</t>
        </is>
      </c>
      <c r="C10" s="41" t="n"/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待判</t>
        </is>
      </c>
      <c r="C11" s="41" t="n"/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41" t="inlineStr">
        <is>
          <t>ROIC 是否在完整周期高于 WACC？再投资能否继续获得超额回报？</t>
        </is>
      </c>
      <c r="C12" s="46" t="n"/>
      <c r="D12" s="46" t="n"/>
      <c r="E12" s="46" t="n"/>
      <c r="F12" s="47" t="n"/>
    </row>
    <row r="13"/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/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/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/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2"/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8" t="n">
        <v>0.25</v>
      </c>
      <c r="C25" s="76" t="n"/>
      <c r="D25" s="82" t="n"/>
      <c r="E25" s="80">
        <f>IF(OR(C25="",D25=""),"",C25*D25)</f>
        <v/>
      </c>
      <c r="F25" s="77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8" t="n">
        <v>0.5</v>
      </c>
      <c r="C26" s="76" t="n"/>
      <c r="D26" s="82" t="n"/>
      <c r="E26" s="80">
        <f>IF(OR(C26="",D26=""),"",C26*D26)</f>
        <v/>
      </c>
      <c r="F26" s="77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8" t="n">
        <v>0.25</v>
      </c>
      <c r="C27" s="76" t="n"/>
      <c r="D27" s="82" t="n"/>
      <c r="E27" s="80">
        <f>IF(OR(C27="",D27=""),"",C27*D27)</f>
        <v/>
      </c>
      <c r="F27" s="77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0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7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2"/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41" t="n"/>
      <c r="C35" s="41" t="n"/>
      <c r="D35" s="41" t="n"/>
      <c r="E35" s="41" t="n"/>
      <c r="F35" s="41" t="n"/>
    </row>
    <row r="36" ht="24" customHeight="1" s="42">
      <c r="A36" s="9" t="inlineStr">
        <is>
          <t>利润率</t>
        </is>
      </c>
      <c r="B36" s="41" t="n"/>
      <c r="C36" s="41" t="n"/>
      <c r="D36" s="41" t="n"/>
      <c r="E36" s="41" t="n"/>
      <c r="F36" s="41" t="n"/>
    </row>
    <row r="37" ht="24" customHeight="1" s="42">
      <c r="A37" s="9" t="inlineStr">
        <is>
          <t>FCF / 派息</t>
        </is>
      </c>
      <c r="B37" s="41" t="n"/>
      <c r="C37" s="41" t="n"/>
      <c r="D37" s="41" t="n"/>
      <c r="E37" s="41" t="n"/>
      <c r="F37" s="41" t="n"/>
    </row>
    <row r="38" ht="24" customHeight="1" s="42">
      <c r="A38" s="9" t="inlineStr">
        <is>
          <t>竞争格局</t>
        </is>
      </c>
      <c r="B38" s="41" t="n"/>
      <c r="C38" s="41" t="n"/>
      <c r="D38" s="41" t="n"/>
      <c r="E38" s="41" t="n"/>
      <c r="F38" s="41" t="n"/>
    </row>
    <row r="39" ht="24" customHeight="1" s="42">
      <c r="A39" s="9" t="inlineStr">
        <is>
          <t>倍数/折现率</t>
        </is>
      </c>
      <c r="B39" s="41" t="n"/>
      <c r="C39" s="41" t="n"/>
      <c r="D39" s="41" t="n"/>
      <c r="E39" s="41" t="n"/>
      <c r="F39" s="41" t="n"/>
    </row>
    <row r="40"/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4"/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41" t="n"/>
      <c r="C7" s="48" t="inlineStr">
        <is>
          <t>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n"/>
    </row>
    <row r="8" ht="36" customHeight="1" s="42">
      <c r="A8" s="9" t="inlineStr">
        <is>
          <t>社交与散户</t>
        </is>
      </c>
      <c r="B8" s="41" t="n"/>
      <c r="C8" s="48" t="inlineStr">
        <is>
          <t>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n"/>
    </row>
    <row r="9" ht="36" customHeight="1" s="42">
      <c r="A9" s="9" t="inlineStr">
        <is>
          <t>卖方与资金</t>
        </is>
      </c>
      <c r="B9" s="41" t="n"/>
      <c r="C9" s="48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n"/>
    </row>
    <row r="10" ht="36" customHeight="1" s="42">
      <c r="A10" s="9" t="inlineStr">
        <is>
          <t>期权与波动</t>
        </is>
      </c>
      <c r="B10" s="41" t="n"/>
      <c r="C10" s="48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n"/>
    </row>
    <row r="11"/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待查</t>
        </is>
      </c>
      <c r="D14" s="41" t="n"/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41" t="n"/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待查</t>
        </is>
      </c>
      <c r="D16" s="41" t="n"/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n"/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n"/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待查</t>
        </is>
      </c>
      <c r="D19" s="41" t="n"/>
      <c r="E19" s="46" t="n"/>
      <c r="F19" s="47" t="n"/>
    </row>
    <row r="20" ht="22.05" customHeight="1" s="42">
      <c r="A20" s="9" t="inlineStr">
        <is>
          <t>市场已定价</t>
        </is>
      </c>
      <c r="B20" s="41" t="n"/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41" t="n"/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4"/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3" t="n"/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8" t="n">
        <v>0.2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3" t="n"/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8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1"/>
    <row r="12" ht="15" customHeight="1" s="42">
      <c r="A12" s="9" t="inlineStr">
        <is>
          <t>风险预算金额</t>
        </is>
      </c>
      <c r="B12" s="84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4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4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4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7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4">
        <f>IF(OR(B15="",封面!B9="",封面!B9=0),"",B15/封面!B9)</f>
        <v/>
      </c>
    </row>
    <row r="18"/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n"/>
      <c r="C21" s="41" t="n"/>
      <c r="D21" s="41" t="n"/>
      <c r="E21" s="41" t="n"/>
      <c r="F21" s="48" t="inlineStr">
        <is>
          <t>中</t>
        </is>
      </c>
    </row>
    <row r="22" ht="36" customHeight="1" s="42">
      <c r="A22" s="2" t="inlineStr">
        <is>
          <t>2</t>
        </is>
      </c>
      <c r="B22" s="41" t="n"/>
      <c r="C22" s="41" t="n"/>
      <c r="D22" s="41" t="n"/>
      <c r="E22" s="41" t="n"/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n"/>
      <c r="C23" s="41" t="n"/>
      <c r="D23" s="41" t="n"/>
      <c r="E23" s="41" t="n"/>
      <c r="F23" s="48" t="inlineStr">
        <is>
          <t>中</t>
        </is>
      </c>
    </row>
    <row r="24"/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n"/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41" t="n"/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41" t="n"/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n"/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n"/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n"/>
      <c r="C31" s="46" t="n"/>
      <c r="D31" s="47" t="n"/>
      <c r="E31" s="45" t="inlineStr">
        <is>
          <t>行业 / 因子 / 单一客户</t>
        </is>
      </c>
      <c r="F31" s="47" t="n"/>
    </row>
    <row r="32"/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待判</t>
        </is>
      </c>
      <c r="C35" s="41" t="n"/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待判</t>
        </is>
      </c>
      <c r="C36" s="41" t="n"/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待判</t>
        </is>
      </c>
      <c r="C37" s="41" t="n"/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待判</t>
        </is>
      </c>
      <c r="C38" s="41" t="n"/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待判</t>
        </is>
      </c>
      <c r="C39" s="41" t="n"/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待判</t>
        </is>
      </c>
      <c r="C40" s="41" t="n"/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4"/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6"/>
    <row r="7" ht="22.05" customHeight="1" s="42">
      <c r="A7" s="43" t="inlineStr">
        <is>
          <t>0. 执行摘要</t>
        </is>
      </c>
    </row>
    <row r="8" ht="32" customHeight="1" s="42">
      <c r="A8" s="63" t="inlineStr">
        <is>
          <t>初筛结论：排除。停止建模，不计算F、Z、M，不给Bear/Base/Bull。
云端无 Excel，汇总按模板公式计算。 闸门按初筛表公式：五项里只要有「否」就排除。
排除理由有三条，每一条都足够单独排除。第一，最近完整年度经营现金流不为正：截至2025-12-31经营现金流-359.1百万港元，净利润-100.1百万港元；2024年、2023年经营现金流为-254.8百万、-91.0百万港元。来源：Yahoo Finance年度现金流量表和利润表。第二，主业利润站不住：FY2025经营利润-73.7百万港元，连续三年净利润为负。第三，有息负债852.1百万港元高于现金334.0百万港元，EBIT为负。
当日事实没有改变这个闸门。收盘复盘写明：9月24日收盘168.2港元，涨9.43%，成交额3.66亿港元，近20个交易日涨约50.9%；财闻网9月21日援引中期业绩会，称订单指引排至2027年、下半年1.6T光模块开始出货；24日没有新的公司公告。要闻没有点名海光芯正。相关背景只是：美国10年期收益率5.104%，纳指9月23日跌1.13%，成长股被利率压着；台积电涨价仍是供应链口径，不是这家公司的成本合同。订单故事可以解释涨幅，不能把负的经营现金流改成正数。
因此备忘录只保留排除理由，不进入财务评分、估值、情绪建模和仓位。动作：排除。
仅供研究备忘，不构成投资建议。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63" t="inlineStr">
        <is>
          <t>初筛排除，停止建模。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63" t="inlineStr">
        <is>
          <t>初筛排除，停止建模。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63" t="inlineStr">
        <is>
          <t>初筛排除，停止建模。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63" t="inlineStr">
        <is>
          <t>初筛排除，停止建模。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63" t="inlineStr">
        <is>
          <t>初筛排除，停止建模。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63" t="inlineStr">
        <is>
          <t>初筛排除，停止建模。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63" t="inlineStr">
        <is>
          <t>初筛排除，停止建模。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63" t="inlineStr">
        <is>
          <t>初筛排除，停止建模。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3"/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1"/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7"/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2026-09-24T19:16:53Z</dcterms:modified>
  <cp:lastModifiedBy>张哥</cp:lastModifiedBy>
</cp:coreProperties>
</file>