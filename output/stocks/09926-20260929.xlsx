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 h:mm:ss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09926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康方生物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港股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46294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106.3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HKD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生物医药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双抗怎么卖说得清，但2025年经营现金流净流出9.48亿元，经调整后仍亏损5.85亿元，初筛排除，不把阿斯利康付给Summit的20亿美元记成康方收入。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高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把阿斯利康认购Summit优先股的20亿美元，写成康方生物已经收到的现金或当年收入。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向医院和患者卖肿瘤免疫双抗，并确认少量授权收入。2025年收入人民币30.563亿元，其中商业销售30.331亿元，商业授权0.232亿元。毛利24.040亿元。来源：港交所2026-03-26全年业绩公告，以及2025年报管理层讨论。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夏瑜博士自2012年起任主席、总裁兼首席执行官，负责整体战略和营运。年报权益披露里，她通过实益持有、受控法团、信托和投票权委托合计持有相当比例投票权。公司在卖药和做临床，不是空壳融资平台。2025年融资活动有股份发行所得约32.05亿元，这是经营中的融资，不改判为占用。来源：2025年报董事及权益章节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否</t>
        </is>
      </c>
      <c r="D8" s="63" t="inlineStr">
        <is>
          <t>否。2025年经营活动所用现金流量净额人民币-947,628千元，即净流出9.476亿元。年内亏损11.408亿元。现金流不为正。2024年经营现金流也是净流出5.276亿元。来源：2025年报现金流量表，单位千元人民币。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是</t>
        </is>
      </c>
      <c r="D9" s="63" t="inlineStr">
        <is>
          <t>是。年报写明计息银行借款及其他借款减去现金及现金等价物为负数，资产负债比率无意义。2025年末流动资产里，现金、定期存款和理财产品合计91.716亿元。短债不是先被现金缺口打穿的那一条。利息因此不单独构成排除项。来源：2025年报财务回顾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否</t>
        </is>
      </c>
      <c r="D10" s="63" t="inlineStr">
        <is>
          <t>否。港股没有A股扣非科目。2025年年内亏损11.408亿元。公司自己的经调整Non-IFRS亏损仍为5.847亿元，Non-IFRS EBITDA亏损1.919亿元。调整加回了Summit损失份额3.248亿元、股份酬金1.570亿元和汇兑亏损0.743亿元，加回之后主业仍然亏损。来源：2026-03-26业绩公告。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销售卡度尼利和依沃西等双抗，收入主要来自商业销售，成本是生产和销售费用。2025年卖出30.56亿元收入，经调整后仍亏5.85亿元。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76" t="n"/>
      <c r="C7" s="76" t="n"/>
      <c r="D7" s="76" t="n"/>
      <c r="E7" s="76" t="n"/>
      <c r="F7" s="76" t="n"/>
      <c r="G7" s="77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76" t="n"/>
      <c r="C8" s="76" t="n"/>
      <c r="D8" s="76" t="n"/>
      <c r="E8" s="76" t="n"/>
      <c r="F8" s="76" t="n"/>
      <c r="G8" s="77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8" t="n"/>
      <c r="C9" s="78" t="n"/>
      <c r="D9" s="78" t="n"/>
      <c r="E9" s="78" t="n"/>
      <c r="F9" s="78" t="n"/>
      <c r="G9" s="77">
        <f>IF(OR(E9="",F9=""),"",F9-E9)</f>
        <v/>
      </c>
      <c r="H9" s="77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6" t="n"/>
      <c r="C10" s="76" t="n"/>
      <c r="D10" s="76" t="n"/>
      <c r="E10" s="76" t="n"/>
      <c r="F10" s="76" t="n"/>
      <c r="G10" s="77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6" t="n"/>
      <c r="C11" s="76" t="n"/>
      <c r="D11" s="76" t="n"/>
      <c r="E11" s="76" t="n"/>
      <c r="F11" s="76" t="n"/>
      <c r="G11" s="77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6" t="n"/>
      <c r="C12" s="76" t="n"/>
      <c r="D12" s="76" t="n"/>
      <c r="E12" s="76" t="n"/>
      <c r="F12" s="76" t="n"/>
      <c r="G12" s="77">
        <f>IF(OR(E12="",E12=0,F12=""),"",(F12-E12)/E12)</f>
        <v/>
      </c>
      <c r="H12" s="79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76" t="n"/>
      <c r="C13" s="76" t="n"/>
      <c r="D13" s="76" t="n"/>
      <c r="E13" s="76" t="n"/>
      <c r="F13" s="76" t="n"/>
      <c r="G13" s="77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76" t="n"/>
      <c r="C14" s="76" t="n"/>
      <c r="D14" s="76" t="n"/>
      <c r="E14" s="76" t="n"/>
      <c r="F14" s="76" t="n"/>
      <c r="G14" s="77">
        <f>IF(OR(E14="",E14=0,F14=""),"",(F14-E14)/E14)</f>
        <v/>
      </c>
      <c r="H14" s="80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8" t="n"/>
      <c r="C15" s="78" t="n"/>
      <c r="D15" s="78" t="n"/>
      <c r="E15" s="78" t="n"/>
      <c r="F15" s="78" t="n"/>
      <c r="G15" s="77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8" t="n"/>
      <c r="C16" s="78" t="n"/>
      <c r="D16" s="78" t="n"/>
      <c r="E16" s="78" t="n"/>
      <c r="F16" s="78" t="n"/>
      <c r="G16" s="77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6" t="n"/>
      <c r="C17" s="76" t="n"/>
      <c r="D17" s="76" t="n"/>
      <c r="E17" s="76" t="n"/>
      <c r="F17" s="76" t="n"/>
      <c r="G17" s="77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6" t="n"/>
      <c r="C18" s="76" t="n"/>
      <c r="D18" s="76" t="n"/>
      <c r="E18" s="76" t="n"/>
      <c r="F18" s="76" t="n"/>
      <c r="G18" s="77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76" t="n"/>
      <c r="C19" s="76" t="n"/>
      <c r="D19" s="76" t="n"/>
      <c r="E19" s="76" t="n"/>
      <c r="F19" s="76" t="n"/>
      <c r="G19" s="77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6" t="n"/>
      <c r="C20" s="76" t="n"/>
      <c r="D20" s="76" t="n"/>
      <c r="E20" s="76" t="n"/>
      <c r="F20" s="76" t="n"/>
      <c r="G20" s="77">
        <f>IF(OR(E20="",E20=0,F20=""),"",(F20-E20)/E20)</f>
        <v/>
      </c>
      <c r="H20" s="80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6" t="n"/>
      <c r="C21" s="76" t="n"/>
      <c r="D21" s="76" t="n"/>
      <c r="E21" s="76" t="n"/>
      <c r="F21" s="76" t="n"/>
      <c r="G21" s="77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6" t="n"/>
      <c r="C22" s="76" t="n"/>
      <c r="D22" s="76" t="n"/>
      <c r="E22" s="76" t="n"/>
      <c r="F22" s="76" t="n"/>
      <c r="G22" s="77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6" t="n"/>
      <c r="C23" s="76" t="n"/>
      <c r="D23" s="76" t="n"/>
      <c r="E23" s="76" t="n"/>
      <c r="F23" s="76" t="n"/>
      <c r="G23" s="77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6" t="n"/>
      <c r="C24" s="76" t="n"/>
      <c r="D24" s="76" t="n"/>
      <c r="E24" s="76" t="n"/>
      <c r="F24" s="76" t="n"/>
      <c r="G24" s="77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6" t="n"/>
      <c r="C7" s="76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6" t="n"/>
      <c r="C8" s="76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6" t="n"/>
      <c r="C9" s="76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6" t="n"/>
      <c r="C10" s="76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6" t="n"/>
      <c r="C11" s="76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6" t="n"/>
      <c r="C12" s="76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6" t="n"/>
      <c r="C13" s="76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6" t="n"/>
      <c r="C14" s="76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6" t="n"/>
      <c r="C15" s="76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6" t="n"/>
      <c r="C16" s="76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6" t="n"/>
      <c r="C17" s="76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6" t="n"/>
      <c r="C18" s="76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6" t="n"/>
      <c r="C19" s="76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6" t="n"/>
      <c r="C20" s="76" t="n"/>
      <c r="D20" s="45" t="inlineStr">
        <is>
          <t>留空则用右边自动值</t>
        </is>
      </c>
      <c r="E20" s="80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6" t="n"/>
      <c r="C21" s="76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6" t="n"/>
      <c r="C22" s="76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6" t="n"/>
      <c r="C23" s="76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6" t="n"/>
      <c r="C24" s="76" t="n"/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1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1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1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1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1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1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1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1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8" t="n">
        <v>0.25</v>
      </c>
      <c r="C25" s="76" t="n"/>
      <c r="D25" s="82" t="n"/>
      <c r="E25" s="80">
        <f>IF(OR(C25="",D25=""),"",C25*D25)</f>
        <v/>
      </c>
      <c r="F25" s="77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8" t="n">
        <v>0.5</v>
      </c>
      <c r="C26" s="76" t="n"/>
      <c r="D26" s="82" t="n"/>
      <c r="E26" s="80">
        <f>IF(OR(C26="",D26=""),"",C26*D26)</f>
        <v/>
      </c>
      <c r="F26" s="77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8" t="n">
        <v>0.25</v>
      </c>
      <c r="C27" s="76" t="n"/>
      <c r="D27" s="82" t="n"/>
      <c r="E27" s="80">
        <f>IF(OR(C27="",D27=""),"",C27*D27)</f>
        <v/>
      </c>
      <c r="F27" s="77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0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7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41" t="n"/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3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8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3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8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4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4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4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4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7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4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初筛结论：排除。停止建模，不计算F、Z、M，不给Bear、Base、Bull。云端无 Excel，汇总按模板公式计算。闸门按初筛表公式：有「否」就排除。本次第3项和第5项为否。第4项债务为「是」，不能抵消亏损和负现金流。排除理由：第一，2025年经营现金流净流出9.476亿元，2024年也净流出5.276亿元。第二，年内亏损11.408亿元，经调整Non-IFRS仍亏5.847亿元，主业利润站不住。当日事实来自要闻和复盘，两套价格不要并成一个：复盘收盘涨15.54%至106.300港元，成交额34.78亿港元，是当日上涨表里成交额最大的一只，近20日从9月1日85.650港元涨到106.300港元，涨24.1%。新浪港股9月29日9时43分稿写盘中涨11.96%、报103港元，那是盘中价，不是收盘。要闻和复盘同一条：阿斯利康出资20亿美元认购Summit优先股，并推进依沃西联合ADC的临床合作。20亿美元的收款主体是Summit，不是康方。康方是依沃西的设计方，中国等地区权利仍在康方。谅解备忘录不是里程碑或分成合同。不把20亿美元写成康方营业收入。恒指当天收24523.57点，跌0.48%。这只股票大涨发生在指数下跌的日子里。近月方向偏多，只描述涨幅。内在价值未建模。动作：排除。估值区间公式结果为「未完成」。仓位上限未计算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收入构成 / 客户与定价 / 护城河来源及 ROIC 验证 / 管理层与股权 / 近 12 个月大事：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周期位置 / 份额 / 议价 / 2–4 家对标（增长、毛利、ROIC、杠杆、估值） / 会改变利润池的政策：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五年趋势（收入、毛利率、扣非、OCF、FCF、ROIC） / 法务会计（应计、现金转化、应收存货、一次性） / 可信度等级：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相对：当前倍数 vs 五年分位 vs 同行。绝对：Bull/Base/Bear 关键变量与价格。共识 vs 我的分歧：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叙事一句 / 拥挤度 / 一致预期。市场已定价 vs 我额外押的：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事件 | 若兑现看什么数字 | 若不兑现怎么办：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一年后失败的三个原因；每条监控信号。至少一条攻击核心论点：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仓位上限 / 建仓区间 / 证伪条件 / 下次复盘日。技术面若用，只服务时点：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2026-09-29T19:11:54Z</dcterms:modified>
  <cp:lastModifiedBy>张哥</cp:lastModifiedBy>
</cp:coreProperties>
</file>