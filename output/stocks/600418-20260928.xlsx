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top" wrapText="1"/>
    </xf>
    <xf numFmtId="170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7" fillId="8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63" t="inlineStr">
        <is>
          <t>600418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63" t="inlineStr">
        <is>
          <t>江淮汽车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63" t="inlineStr">
        <is>
          <t>A股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4" t="n">
        <v>46293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5" t="n">
        <v>25.22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63" t="inlineStr">
        <is>
          <t>CNY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63" t="inlineStr">
        <is>
          <t>汽车制造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63" t="inlineStr">
        <is>
          <t>FY2025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3" t="inlineStr">
        <is>
          <t>整车怎么卖说得清，但2025年扣非净亏损25.00亿元，经营现金流与净利润方向相反，初筛排除，不把华为合作或未确认的代工传闻折成目标价。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63" t="inlineStr">
        <is>
          <t>未建模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63" t="inlineStr">
        <is>
          <t>偏多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63" t="inlineStr">
        <is>
          <t>排除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63" t="inlineStr">
        <is>
          <t>A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63" t="inlineStr">
        <is>
          <t>高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3" t="inlineStr">
        <is>
          <t>把与华为的既有合作，或未确认的豪华品牌代工传闻，写成已经能覆盖扣非亏损的收入。</t>
        </is>
      </c>
      <c r="C22" s="47" t="n"/>
      <c r="D22" s="45" t="inlineStr">
        <is>
          <t>会推翻论点的那一条</t>
        </is>
      </c>
      <c r="E22" s="46" t="n"/>
      <c r="F22" s="47" t="n"/>
    </row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63" t="inlineStr">
        <is>
          <t>是</t>
        </is>
      </c>
      <c r="D6" s="63" t="inlineStr">
        <is>
          <t>卖整车和零部件。2025年营业收入464.76亿元，营业成本407.66亿元。来源：2025年年度报告主要会计数据，巨潮资讯2026-04-04。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63" t="inlineStr">
        <is>
          <t>是</t>
        </is>
      </c>
      <c r="D7" s="63" t="inlineStr">
        <is>
          <t>年报释义中的控股股东是安徽江淮汽车集团控股有限公司。年报首页写明不存在控股股东及其他关联方非经营性占用资金，也不存在违规对外担保。公司在经营汽车，不是把上市公司当融资通道。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63" t="inlineStr">
        <is>
          <t>否</t>
        </is>
      </c>
      <c r="D8" s="63" t="inlineStr">
        <is>
          <t>否。2025年经营活动现金流量净额33.95亿元，为正；归母净利润-17.03亿元，为负。方向不一致。模板要求经营现金流为正且与净利润同向。来源：2025年年报主要会计数据。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63" t="inlineStr">
        <is>
          <t>是</t>
        </is>
      </c>
      <c r="D9" s="63" t="inlineStr">
        <is>
          <t>年报变动说明里长期借款23.73亿元。雅虎整理的2025年末有息负债71.22亿元，现金及等价物171.40亿元，现金高于有息负债。财务费用-1.61亿元，年报写成汇兑收益。利息没有吃掉利润。债务这一项过得去，但不能抵消扣非亏损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63" t="inlineStr">
        <is>
          <t>否</t>
        </is>
      </c>
      <c r="D10" s="63" t="inlineStr">
        <is>
          <t>否。2025年归母扣非净利润-24.9998亿元，2024年-27.41亿元，2023年-17.18亿元。扣非后主业连续三年亏损。政府补助等非经常性损益2025年约7.97亿元，东方财富2026-04-03转述年报。主业利润站不住。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3" t="inlineStr">
        <is>
          <t>向经销商和终端卖乘用车、商用车，收入按整车结算，成本是材料、制造和广宣。2025年卖出了464.76亿元收入，扣非后仍亏25.00亿元。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n"/>
      <c r="C6" s="25" t="n"/>
      <c r="D6" s="25" t="n"/>
      <c r="E6" s="25" t="n"/>
      <c r="F6" s="25" t="n"/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百万元</t>
        </is>
      </c>
    </row>
    <row r="7" ht="20" customHeight="1" s="42">
      <c r="A7" s="9" t="inlineStr">
        <is>
          <t>营业收入</t>
        </is>
      </c>
      <c r="B7" s="76" t="n"/>
      <c r="C7" s="76" t="n"/>
      <c r="D7" s="76" t="n"/>
      <c r="E7" s="76" t="n"/>
      <c r="F7" s="76" t="n"/>
      <c r="G7" s="77">
        <f>IF(OR(E7="",E7=0,F7=""),"",(F7-E7)/E7)</f>
        <v/>
      </c>
      <c r="H7" s="28" t="n"/>
      <c r="I7" s="41" t="n"/>
    </row>
    <row r="8" ht="20" customHeight="1" s="42">
      <c r="A8" s="9" t="inlineStr">
        <is>
          <t>毛利</t>
        </is>
      </c>
      <c r="B8" s="76" t="n"/>
      <c r="C8" s="76" t="n"/>
      <c r="D8" s="76" t="n"/>
      <c r="E8" s="76" t="n"/>
      <c r="F8" s="76" t="n"/>
      <c r="G8" s="77">
        <f>IF(OR(E8="",E8=0,F8=""),"",(F8-E8)/E8)</f>
        <v/>
      </c>
      <c r="H8" s="28" t="n"/>
      <c r="I8" s="41" t="n"/>
    </row>
    <row r="9" ht="20" customHeight="1" s="42">
      <c r="A9" s="9" t="inlineStr">
        <is>
          <t>毛利率</t>
        </is>
      </c>
      <c r="B9" s="78" t="n"/>
      <c r="C9" s="78" t="n"/>
      <c r="D9" s="78" t="n"/>
      <c r="E9" s="78" t="n"/>
      <c r="F9" s="78" t="n"/>
      <c r="G9" s="77">
        <f>IF(OR(E9="",F9=""),"",F9-E9)</f>
        <v/>
      </c>
      <c r="H9" s="77">
        <f>IF(OR(F7="",F7=0,F8=""),"",F8/F7)</f>
        <v/>
      </c>
      <c r="I9" s="41" t="n"/>
    </row>
    <row r="10" ht="20" customHeight="1" s="42">
      <c r="A10" s="9" t="inlineStr">
        <is>
          <t>扣非净利润</t>
        </is>
      </c>
      <c r="B10" s="76" t="n"/>
      <c r="C10" s="76" t="n"/>
      <c r="D10" s="76" t="n"/>
      <c r="E10" s="76" t="n"/>
      <c r="F10" s="76" t="n"/>
      <c r="G10" s="77">
        <f>IF(OR(E10="",E10=0,F10=""),"",(F10-E10)/E10)</f>
        <v/>
      </c>
      <c r="H10" s="28" t="n"/>
      <c r="I10" s="41" t="n"/>
    </row>
    <row r="11" ht="20" customHeight="1" s="42">
      <c r="A11" s="9" t="inlineStr">
        <is>
          <t>净利润</t>
        </is>
      </c>
      <c r="B11" s="76" t="n"/>
      <c r="C11" s="76" t="n"/>
      <c r="D11" s="76" t="n"/>
      <c r="E11" s="76" t="n"/>
      <c r="F11" s="76" t="n"/>
      <c r="G11" s="77">
        <f>IF(OR(E11="",E11=0,F11=""),"",(F11-E11)/E11)</f>
        <v/>
      </c>
      <c r="H11" s="28" t="n"/>
      <c r="I11" s="41" t="n"/>
    </row>
    <row r="12" ht="20" customHeight="1" s="42">
      <c r="A12" s="9" t="inlineStr">
        <is>
          <t>经营现金流</t>
        </is>
      </c>
      <c r="B12" s="76" t="n"/>
      <c r="C12" s="76" t="n"/>
      <c r="D12" s="76" t="n"/>
      <c r="E12" s="76" t="n"/>
      <c r="F12" s="76" t="n"/>
      <c r="G12" s="77">
        <f>IF(OR(E12="",E12=0,F12=""),"",(F12-E12)/E12)</f>
        <v/>
      </c>
      <c r="H12" s="79">
        <f>IF(OR(F11="",F11=0,F12=""),"",F12/F11)</f>
        <v/>
      </c>
      <c r="I12" s="41" t="n"/>
    </row>
    <row r="13" ht="20" customHeight="1" s="42">
      <c r="A13" s="9" t="inlineStr">
        <is>
          <t>资本开支</t>
        </is>
      </c>
      <c r="B13" s="76" t="n"/>
      <c r="C13" s="76" t="n"/>
      <c r="D13" s="76" t="n"/>
      <c r="E13" s="76" t="n"/>
      <c r="F13" s="76" t="n"/>
      <c r="G13" s="77">
        <f>IF(OR(E13="",E13=0,F13=""),"",(F13-E13)/E13)</f>
        <v/>
      </c>
      <c r="H13" s="28" t="n"/>
      <c r="I13" s="41" t="n"/>
    </row>
    <row r="14" ht="20" customHeight="1" s="42">
      <c r="A14" s="9" t="inlineStr">
        <is>
          <t>自由现金流</t>
        </is>
      </c>
      <c r="B14" s="76" t="n"/>
      <c r="C14" s="76" t="n"/>
      <c r="D14" s="76" t="n"/>
      <c r="E14" s="76" t="n"/>
      <c r="F14" s="76" t="n"/>
      <c r="G14" s="77">
        <f>IF(OR(E14="",E14=0,F14=""),"",(F14-E14)/E14)</f>
        <v/>
      </c>
      <c r="H14" s="80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78" t="n"/>
      <c r="C15" s="78" t="n"/>
      <c r="D15" s="78" t="n"/>
      <c r="E15" s="78" t="n"/>
      <c r="F15" s="78" t="n"/>
      <c r="G15" s="77">
        <f>IF(OR(E15="",F15=""),"",F15-E15)</f>
        <v/>
      </c>
      <c r="H15" s="28" t="n"/>
      <c r="I15" s="41" t="n"/>
    </row>
    <row r="16" ht="20" customHeight="1" s="42">
      <c r="A16" s="9" t="inlineStr">
        <is>
          <t>ROIC</t>
        </is>
      </c>
      <c r="B16" s="78" t="n"/>
      <c r="C16" s="78" t="n"/>
      <c r="D16" s="78" t="n"/>
      <c r="E16" s="78" t="n"/>
      <c r="F16" s="78" t="n"/>
      <c r="G16" s="77">
        <f>IF(OR(E16="",F16=""),"",F16-E16)</f>
        <v/>
      </c>
      <c r="H16" s="28" t="n"/>
      <c r="I16" s="41" t="n"/>
    </row>
    <row r="17" ht="20" customHeight="1" s="42">
      <c r="A17" s="9" t="inlineStr">
        <is>
          <t>总资产</t>
        </is>
      </c>
      <c r="B17" s="76" t="n"/>
      <c r="C17" s="76" t="n"/>
      <c r="D17" s="76" t="n"/>
      <c r="E17" s="76" t="n"/>
      <c r="F17" s="76" t="n"/>
      <c r="G17" s="77">
        <f>IF(OR(E17="",E17=0,F17=""),"",(F17-E17)/E17)</f>
        <v/>
      </c>
      <c r="H17" s="28" t="n"/>
      <c r="I17" s="41" t="n"/>
    </row>
    <row r="18" ht="20" customHeight="1" s="42">
      <c r="A18" s="9" t="inlineStr">
        <is>
          <t>有息负债</t>
        </is>
      </c>
      <c r="B18" s="76" t="n"/>
      <c r="C18" s="76" t="n"/>
      <c r="D18" s="76" t="n"/>
      <c r="E18" s="76" t="n"/>
      <c r="F18" s="76" t="n"/>
      <c r="G18" s="77">
        <f>IF(OR(E18="",E18=0,F18=""),"",(F18-E18)/E18)</f>
        <v/>
      </c>
      <c r="H18" s="28" t="n"/>
      <c r="I18" s="41" t="n"/>
    </row>
    <row r="19" ht="20" customHeight="1" s="42">
      <c r="A19" s="9" t="inlineStr">
        <is>
          <t>现金及等价物</t>
        </is>
      </c>
      <c r="B19" s="76" t="n"/>
      <c r="C19" s="76" t="n"/>
      <c r="D19" s="76" t="n"/>
      <c r="E19" s="76" t="n"/>
      <c r="F19" s="76" t="n"/>
      <c r="G19" s="77">
        <f>IF(OR(E19="",E19=0,F19=""),"",(F19-E19)/E19)</f>
        <v/>
      </c>
      <c r="H19" s="28" t="n"/>
      <c r="I19" s="41" t="n"/>
    </row>
    <row r="20" ht="20" customHeight="1" s="42">
      <c r="A20" s="9" t="inlineStr">
        <is>
          <t>净负债</t>
        </is>
      </c>
      <c r="B20" s="76" t="n"/>
      <c r="C20" s="76" t="n"/>
      <c r="D20" s="76" t="n"/>
      <c r="E20" s="76" t="n"/>
      <c r="F20" s="76" t="n"/>
      <c r="G20" s="77">
        <f>IF(OR(E20="",E20=0,F20=""),"",(F20-E20)/E20)</f>
        <v/>
      </c>
      <c r="H20" s="80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76" t="n"/>
      <c r="C21" s="76" t="n"/>
      <c r="D21" s="76" t="n"/>
      <c r="E21" s="76" t="n"/>
      <c r="F21" s="76" t="n"/>
      <c r="G21" s="77">
        <f>IF(OR(E21="",E21=0,F21=""),"",(F21-E21)/E21)</f>
        <v/>
      </c>
      <c r="H21" s="28" t="n"/>
      <c r="I21" s="41" t="n"/>
    </row>
    <row r="22" ht="20" customHeight="1" s="42">
      <c r="A22" s="9" t="inlineStr">
        <is>
          <t>应收账款</t>
        </is>
      </c>
      <c r="B22" s="76" t="n"/>
      <c r="C22" s="76" t="n"/>
      <c r="D22" s="76" t="n"/>
      <c r="E22" s="76" t="n"/>
      <c r="F22" s="76" t="n"/>
      <c r="G22" s="77">
        <f>IF(OR(E22="",E22=0,F22=""),"",(F22-E22)/E22)</f>
        <v/>
      </c>
      <c r="H22" s="28" t="n"/>
      <c r="I22" s="41" t="n"/>
    </row>
    <row r="23" ht="20" customHeight="1" s="42">
      <c r="A23" s="9" t="inlineStr">
        <is>
          <t>存货</t>
        </is>
      </c>
      <c r="B23" s="76" t="n"/>
      <c r="C23" s="76" t="n"/>
      <c r="D23" s="76" t="n"/>
      <c r="E23" s="76" t="n"/>
      <c r="F23" s="76" t="n"/>
      <c r="G23" s="77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76" t="n"/>
      <c r="C24" s="76" t="n"/>
      <c r="D24" s="76" t="n"/>
      <c r="E24" s="76" t="n"/>
      <c r="F24" s="76" t="n"/>
      <c r="G24" s="77">
        <f>IF(OR(E24="",E24=0,F24=""),"",(F24-E24)/E24)</f>
        <v/>
      </c>
      <c r="H24" s="28" t="n"/>
      <c r="I24" s="41" t="n"/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41" t="n"/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41" t="n"/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41" t="n"/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41" t="n"/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41" t="n"/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76" t="n"/>
      <c r="C7" s="76" t="n"/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76" t="n"/>
      <c r="C8" s="76" t="n"/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76" t="n"/>
      <c r="C9" s="76" t="n"/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76" t="n"/>
      <c r="C10" s="76" t="n"/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76" t="n"/>
      <c r="C11" s="76" t="n"/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76" t="n"/>
      <c r="C12" s="76" t="n"/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76" t="n"/>
      <c r="C13" s="76" t="n"/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76" t="n"/>
      <c r="C14" s="76" t="n"/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76" t="n"/>
      <c r="C15" s="76" t="n"/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76" t="n"/>
      <c r="C16" s="76" t="n"/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76" t="n"/>
      <c r="C17" s="76" t="n"/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76" t="n"/>
      <c r="C18" s="76" t="n"/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76" t="n"/>
      <c r="C19" s="76" t="n"/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76" t="n"/>
      <c r="C20" s="76" t="n"/>
      <c r="D20" s="45" t="inlineStr">
        <is>
          <t>留空则用右边自动值</t>
        </is>
      </c>
      <c r="E20" s="80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76" t="n"/>
      <c r="C21" s="76" t="n"/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76" t="n"/>
      <c r="C22" s="76" t="n"/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76" t="n"/>
      <c r="C23" s="76" t="n"/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76" t="n"/>
      <c r="C24" s="76" t="n"/>
      <c r="D24" s="45" t="inlineStr">
        <is>
          <t>M 分数用；没有可留空</t>
        </is>
      </c>
      <c r="E24" s="46" t="n"/>
      <c r="F24" s="47" t="n"/>
    </row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1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1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1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1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1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1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1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1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待判</t>
        </is>
      </c>
      <c r="C7" s="41" t="n"/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待判</t>
        </is>
      </c>
      <c r="C8" s="41" t="n"/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待判</t>
        </is>
      </c>
      <c r="C9" s="41" t="n"/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待判</t>
        </is>
      </c>
      <c r="C10" s="41" t="n"/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待判</t>
        </is>
      </c>
      <c r="C11" s="41" t="n"/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41" t="inlineStr">
        <is>
          <t>ROIC 是否在完整周期高于 WACC？再投资能否继续获得超额回报？</t>
        </is>
      </c>
      <c r="C12" s="46" t="n"/>
      <c r="D12" s="46" t="n"/>
      <c r="E12" s="46" t="n"/>
      <c r="F12" s="47" t="n"/>
    </row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/>
      <c r="C16" s="35" t="n"/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/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/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/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8" t="n">
        <v>0.25</v>
      </c>
      <c r="C25" s="76" t="n"/>
      <c r="D25" s="82" t="n"/>
      <c r="E25" s="80">
        <f>IF(OR(C25="",D25=""),"",C25*D25)</f>
        <v/>
      </c>
      <c r="F25" s="77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8" t="n">
        <v>0.5</v>
      </c>
      <c r="C26" s="76" t="n"/>
      <c r="D26" s="82" t="n"/>
      <c r="E26" s="80">
        <f>IF(OR(C26="",D26=""),"",C26*D26)</f>
        <v/>
      </c>
      <c r="F26" s="77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8" t="n">
        <v>0.25</v>
      </c>
      <c r="C27" s="76" t="n"/>
      <c r="D27" s="82" t="n"/>
      <c r="E27" s="80">
        <f>IF(OR(C27="",D27=""),"",C27*D27)</f>
        <v/>
      </c>
      <c r="F27" s="77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80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7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41" t="n"/>
      <c r="C35" s="41" t="n"/>
      <c r="D35" s="41" t="n"/>
      <c r="E35" s="41" t="n"/>
      <c r="F35" s="41" t="n"/>
    </row>
    <row r="36" ht="24" customHeight="1" s="42">
      <c r="A36" s="9" t="inlineStr">
        <is>
          <t>利润率</t>
        </is>
      </c>
      <c r="B36" s="41" t="n"/>
      <c r="C36" s="41" t="n"/>
      <c r="D36" s="41" t="n"/>
      <c r="E36" s="41" t="n"/>
      <c r="F36" s="41" t="n"/>
    </row>
    <row r="37" ht="24" customHeight="1" s="42">
      <c r="A37" s="9" t="inlineStr">
        <is>
          <t>FCF / 派息</t>
        </is>
      </c>
      <c r="B37" s="41" t="n"/>
      <c r="C37" s="41" t="n"/>
      <c r="D37" s="41" t="n"/>
      <c r="E37" s="41" t="n"/>
      <c r="F37" s="41" t="n"/>
    </row>
    <row r="38" ht="24" customHeight="1" s="42">
      <c r="A38" s="9" t="inlineStr">
        <is>
          <t>竞争格局</t>
        </is>
      </c>
      <c r="B38" s="41" t="n"/>
      <c r="C38" s="41" t="n"/>
      <c r="D38" s="41" t="n"/>
      <c r="E38" s="41" t="n"/>
      <c r="F38" s="41" t="n"/>
    </row>
    <row r="39" ht="24" customHeight="1" s="42">
      <c r="A39" s="9" t="inlineStr">
        <is>
          <t>倍数/折现率</t>
        </is>
      </c>
      <c r="B39" s="41" t="n"/>
      <c r="C39" s="41" t="n"/>
      <c r="D39" s="41" t="n"/>
      <c r="E39" s="41" t="n"/>
      <c r="F39" s="41" t="n"/>
    </row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41" t="n"/>
      <c r="C7" s="48" t="inlineStr">
        <is>
          <t>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n"/>
    </row>
    <row r="8" ht="36" customHeight="1" s="42">
      <c r="A8" s="9" t="inlineStr">
        <is>
          <t>社交与散户</t>
        </is>
      </c>
      <c r="B8" s="41" t="n"/>
      <c r="C8" s="48" t="inlineStr">
        <is>
          <t>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n"/>
    </row>
    <row r="9" ht="36" customHeight="1" s="42">
      <c r="A9" s="9" t="inlineStr">
        <is>
          <t>卖方与资金</t>
        </is>
      </c>
      <c r="B9" s="41" t="n"/>
      <c r="C9" s="48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n"/>
    </row>
    <row r="10" ht="36" customHeight="1" s="42">
      <c r="A10" s="9" t="inlineStr">
        <is>
          <t>期权与波动</t>
        </is>
      </c>
      <c r="B10" s="41" t="n"/>
      <c r="C10" s="48" t="inlineStr">
        <is>
          <t>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41" t="n"/>
    </row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待查</t>
        </is>
      </c>
      <c r="D14" s="41" t="n"/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待查</t>
        </is>
      </c>
      <c r="D15" s="41" t="n"/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待查</t>
        </is>
      </c>
      <c r="D16" s="41" t="n"/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n"/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41" t="n"/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待查</t>
        </is>
      </c>
      <c r="D19" s="41" t="n"/>
      <c r="E19" s="46" t="n"/>
      <c r="F19" s="47" t="n"/>
    </row>
    <row r="20" ht="22.05" customHeight="1" s="42">
      <c r="A20" s="9" t="inlineStr">
        <is>
          <t>市场已定价</t>
        </is>
      </c>
      <c r="B20" s="41" t="n"/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41" t="n"/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3" t="n"/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8" t="n">
        <v>0.2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3" t="n"/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8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2" ht="15" customHeight="1" s="42">
      <c r="A12" s="9" t="inlineStr">
        <is>
          <t>风险预算金额</t>
        </is>
      </c>
      <c r="B12" s="84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4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4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4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7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4">
        <f>IF(OR(B15="",封面!B9="",封面!B9=0),"",B15/封面!B9)</f>
        <v/>
      </c>
    </row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41" t="n"/>
      <c r="C21" s="41" t="n"/>
      <c r="D21" s="41" t="n"/>
      <c r="E21" s="41" t="n"/>
      <c r="F21" s="48" t="inlineStr">
        <is>
          <t>中</t>
        </is>
      </c>
    </row>
    <row r="22" ht="36" customHeight="1" s="42">
      <c r="A22" s="2" t="inlineStr">
        <is>
          <t>2</t>
        </is>
      </c>
      <c r="B22" s="41" t="n"/>
      <c r="C22" s="41" t="n"/>
      <c r="D22" s="41" t="n"/>
      <c r="E22" s="41" t="n"/>
      <c r="F22" s="48" t="inlineStr">
        <is>
          <t>中</t>
        </is>
      </c>
    </row>
    <row r="23" ht="36" customHeight="1" s="42">
      <c r="A23" s="2" t="inlineStr">
        <is>
          <t>3</t>
        </is>
      </c>
      <c r="B23" s="41" t="n"/>
      <c r="C23" s="41" t="n"/>
      <c r="D23" s="41" t="n"/>
      <c r="E23" s="41" t="n"/>
      <c r="F23" s="48" t="inlineStr">
        <is>
          <t>中</t>
        </is>
      </c>
    </row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n"/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41" t="n"/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41" t="n"/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41" t="n"/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41" t="n"/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41" t="n"/>
      <c r="C31" s="46" t="n"/>
      <c r="D31" s="47" t="n"/>
      <c r="E31" s="45" t="inlineStr">
        <is>
          <t>行业 / 因子 / 单一客户</t>
        </is>
      </c>
      <c r="F31" s="47" t="n"/>
    </row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待判</t>
        </is>
      </c>
      <c r="C35" s="41" t="n"/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待判</t>
        </is>
      </c>
      <c r="C36" s="41" t="n"/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待判</t>
        </is>
      </c>
      <c r="C37" s="41" t="n"/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待判</t>
        </is>
      </c>
      <c r="C38" s="41" t="n"/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待判</t>
        </is>
      </c>
      <c r="C39" s="41" t="n"/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待判</t>
        </is>
      </c>
      <c r="C40" s="41" t="n"/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7" ht="22.05" customHeight="1" s="42">
      <c r="A7" s="43" t="inlineStr">
        <is>
          <t>0. 执行摘要</t>
        </is>
      </c>
    </row>
    <row r="8" ht="32" customHeight="1" s="42">
      <c r="A8" s="63" t="inlineStr">
        <is>
          <t>初筛结论：排除。停止建模，不计算F、Z、M，不给Bear、Base、Bull。
云端无 Excel，汇总按模板公式计算。闸门按初筛表公式：五项里只要有「否」就排除。本次第3项和第5项为否。
排除理由有两条，每一条都够单独停。第一，最近完整年度经营现金流与净利润方向不一致：2025年经营现金流净额3,394,654,330.63元，归母净利润-1,702,573,514.40元。来源：安徽江淮汽车集团股份有限公司2025年年度报告主要会计数据，巨潮资讯2026-04-04。第二，扣非后主业不赚钱：归母扣非净利润-2,499,980,373.96元，2024年、2023年同为亏损。非经常性损益约7.97亿元，不能当成主业。
当天要闻和复盘都写到这只股票，但没有改写上面两列。要闻宏观栏：A股9月28日节后首日收跌，江淮汽车回应生产经营正常、与华为一直有合作，没有确认豪华品牌代工传闻。复盘：4天3板，连续涨停天数是1，收盘25.22元，涨9.99%，成交额43.93亿元，是涨停池成交额最大的一只。凤凰网9月28日的公司回应与要闻一致。路透和《Milano Finanza》的玛莎拉蒂代工是媒体报道，Stellantis称不对传闻评论，战略放到今年12月。合作存在，不等于新合同已经签署。
现价用9月28日收盘25.22元，与复盘和雅虎regularMarketPrice一致。雅虎9月28日K线的收盘栏是空的，不用那一格。不把盘中价写成收盘。
因此备忘录只保留排除理由，不进入财务评分、估值、情绪建模和仓位。动作：排除。F、Z、M和估值区间都未计算。
仅供研究备忘，不构成投资建议。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41" t="inlineStr">
        <is>
          <t>收入构成 / 客户与定价 / 护城河来源及 ROIC 验证 / 管理层与股权 / 近 12 个月大事：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41" t="inlineStr">
        <is>
          <t>周期位置 / 份额 / 议价 / 2–4 家对标（增长、毛利、ROIC、杠杆、估值） / 会改变利润池的政策：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41" t="inlineStr">
        <is>
          <t>五年趋势（收入、毛利率、扣非、OCF、FCF、ROIC） / 法务会计（应计、现金转化、应收存货、一次性） / 可信度等级：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41" t="inlineStr">
        <is>
          <t>相对：当前倍数 vs 五年分位 vs 同行。绝对：Bull/Base/Bear 关键变量与价格。共识 vs 我的分歧：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41" t="inlineStr">
        <is>
          <t>叙事一句 / 拥挤度 / 一致预期。市场已定价 vs 我额外押的：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41" t="inlineStr">
        <is>
          <t>事件 | 若兑现看什么数字 | 若不兑现怎么办：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41" t="inlineStr">
        <is>
          <t>一年后失败的三个原因；每条监控信号。至少一条攻击核心论点：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41" t="inlineStr">
        <is>
          <t>仓位上限 / 建仓区间 / 证伪条件 / 下次复盘日。技术面若用，只服务时点：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2026-09-28T19:17:27Z</dcterms:modified>
  <cp:lastModifiedBy>张哥</cp:lastModifiedBy>
</cp:coreProperties>
</file>