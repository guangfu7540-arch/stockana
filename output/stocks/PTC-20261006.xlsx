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7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48" t="inlineStr">
        <is>
          <t>PTC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48" t="inlineStr">
        <is>
          <t>PTC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48" t="inlineStr">
        <is>
          <t>美股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3" t="n">
        <v>46301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4" t="n">
        <v>192.26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48" t="inlineStr">
        <is>
          <t>USD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48" t="inlineStr">
        <is>
          <t>工业软件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48" t="inlineStr">
        <is>
          <t>FY2025，财年截至2025-09-30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5" t="inlineStr">
        <is>
          <t>订阅软件说得清，FY2025经营现金流8.68亿美元且高于净利润。10月5日收盘192.26美元已经把每股205美元现金要约定进价格，概率加权价低于现价，等待而不是追入。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48" t="inlineStr">
        <is>
          <t>贵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48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48" t="inlineStr">
        <is>
          <t>等待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48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48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5" t="inlineStr">
        <is>
          <t>把尚未交割的每股205美元写成已经收到的现金，或把2026年3月出售Kepware和ThingWorx的收益写成可持续利润。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48" t="inlineStr">
        <is>
          <t>是</t>
        </is>
      </c>
      <c r="D6" s="65" t="inlineStr">
        <is>
          <t>卖复杂工业产品的设计、工程和数据管理软件，客户按订阅和云服务付费，成本主要是研发、销售和云交付。SEC Form 10-K（2025-11-21申报，财年截至2025-09-30）：营业收入2,739.23百万美元。要闻转述联合新闻稿：全球客户超过3万家，能力覆盖计算机辅助设计、产品生命周期、应用生命周期和服务生命周期。3万家是新闻稿口径，不与施耐德备考的5万家客户相加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48" t="inlineStr">
        <is>
          <t>是</t>
        </is>
      </c>
      <c r="D7" s="65" t="inlineStr">
        <is>
          <t>是经营公司，不是融资壳。10-K是持续经营的软件公司，FY2025经营现金流为正。要闻和复盘都写两家董事会已一致同意，PTC董事会建议股东批准施耐德的全现金收购。这是出售经营资产的协议，不是实控人把上市公司当成没有产品的融资工具。没有单一实控人姓名要在这次写成事实，股权分散本身不构成「否」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48" t="inlineStr">
        <is>
          <t>是</t>
        </is>
      </c>
      <c r="D8" s="65" t="inlineStr">
        <is>
          <t>是。10-K现金流量表：FY2025经营活动现金流867.70百万美元。利润表净利润734.00百万美元。两者都为正，现金更高。FY2021至FY2024经营现金流分别为368.81、435.33、610.86、749.98百万美元，都为正。来源：SEC companyfacts，标签NetCashProvidedByUsedInOperatingActivities与NetIncomeLoss，10-K。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48" t="inlineStr">
        <is>
          <t>是</t>
        </is>
      </c>
      <c r="D9" s="65" t="inlineStr">
        <is>
          <t>是。FY2025有息负债按非流动长期债务1,172.43百万、一年内到期长期债务25.00百万、经营租赁负债172.43百万，合计1,369.87百万美元。现金及等价物184.42百万。利息费用77.02百万，营业利润982.39百万，利息覆盖约12.8倍。一年内到期的借款25百万，低于现金。来源：SEC companyfacts的LongTermDebt、LongTermDebtCurrent、OperatingLeaseLiability、InterestExpense、OperatingIncomeLoss。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48" t="inlineStr">
        <is>
          <t>是</t>
        </is>
      </c>
      <c r="D10" s="65" t="inlineStr">
        <is>
          <t>是。美国报表没有A股扣非。FY2025营业利润982.39百万美元，净利润734.00百万美元，税前利润920.18百万美元。Yahoo Finance的Normalized Income为746.51百万美元，和净利润同向。2026年3月13日出售Kepware和ThingWorx的4.626亿美元税前收益记在FY2026第二季度，不在FY2025。FY2025的主业利润站得住。来源：10-K；10-Q截至2026-03-31关于剥离收益的附注。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5" t="inlineStr">
        <is>
          <t>向工业企业收CAD、PLM、ALM和SLM的订阅和云服务费。FY2025收入27.39亿美元，经营现金流8.68亿美元。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inlineStr">
        <is>
          <t>2021</t>
        </is>
      </c>
      <c r="C6" s="25" t="inlineStr">
        <is>
          <t>2022</t>
        </is>
      </c>
      <c r="D6" s="25" t="inlineStr">
        <is>
          <t>2023</t>
        </is>
      </c>
      <c r="E6" s="25" t="inlineStr">
        <is>
          <t>2024</t>
        </is>
      </c>
      <c r="F6" s="25" t="inlineStr">
        <is>
          <t>2025</t>
        </is>
      </c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百万美元</t>
        </is>
      </c>
    </row>
    <row r="7" ht="20" customHeight="1" s="42">
      <c r="A7" s="9" t="inlineStr">
        <is>
          <t>营业收入</t>
        </is>
      </c>
      <c r="B7" s="64" t="n">
        <v>1807.16</v>
      </c>
      <c r="C7" s="64" t="n">
        <v>1933.35</v>
      </c>
      <c r="D7" s="64" t="n">
        <v>2097.05</v>
      </c>
      <c r="E7" s="64" t="n">
        <v>2298.47</v>
      </c>
      <c r="F7" s="64" t="n">
        <v>2739.23</v>
      </c>
      <c r="G7" s="76">
        <f>IF(OR(E7="",E7=0,F7=""),"",(F7-E7)/E7)</f>
        <v/>
      </c>
      <c r="H7" s="28" t="n"/>
      <c r="I7" s="65" t="inlineStr">
        <is>
          <t>SEC 10-K companyfacts，RevenueFromContractWithCustomerExcludingAssessedTax。FY2025为2025-09-30，申报日2025-11-21。单位百万美元。</t>
        </is>
      </c>
    </row>
    <row r="8" ht="20" customHeight="1" s="42">
      <c r="A8" s="9" t="inlineStr">
        <is>
          <t>毛利</t>
        </is>
      </c>
      <c r="B8" s="64" t="n">
        <v>1436.06</v>
      </c>
      <c r="C8" s="64" t="n">
        <v>1547.37</v>
      </c>
      <c r="D8" s="64" t="n">
        <v>1656.05</v>
      </c>
      <c r="E8" s="64" t="n">
        <v>1853.66</v>
      </c>
      <c r="F8" s="64" t="n">
        <v>2294.24</v>
      </c>
      <c r="G8" s="76">
        <f>IF(OR(E8="",E8=0,F8=""),"",(F8-E8)/E8)</f>
        <v/>
      </c>
      <c r="H8" s="28" t="n"/>
      <c r="I8" s="41" t="inlineStr">
        <is>
          <t>SEC GrossProfit，同一份10-K比较数字。</t>
        </is>
      </c>
    </row>
    <row r="9" ht="20" customHeight="1" s="42">
      <c r="A9" s="9" t="inlineStr">
        <is>
          <t>毛利率</t>
        </is>
      </c>
      <c r="B9" s="77" t="n">
        <v>0.7947</v>
      </c>
      <c r="C9" s="77" t="n">
        <v>0.8004</v>
      </c>
      <c r="D9" s="77" t="n">
        <v>0.7897</v>
      </c>
      <c r="E9" s="77" t="n">
        <v>0.8065</v>
      </c>
      <c r="F9" s="77" t="n">
        <v>0.8375</v>
      </c>
      <c r="G9" s="76">
        <f>IF(OR(E9="",F9=""),"",F9-E9)</f>
        <v/>
      </c>
      <c r="H9" s="76">
        <f>IF(OR(F7="",F7=0,F8=""),"",F8/F7)</f>
        <v/>
      </c>
      <c r="I9" s="41" t="inlineStr">
        <is>
          <t>毛利率=毛利/收入，用本表已填的百万美元计算，小数。</t>
        </is>
      </c>
    </row>
    <row r="10" ht="20" customHeight="1" s="42">
      <c r="A10" s="9" t="inlineStr">
        <is>
          <t>扣非净利润</t>
        </is>
      </c>
      <c r="B10" s="64" t="n"/>
      <c r="C10" s="64" t="n">
        <v>341.65</v>
      </c>
      <c r="D10" s="64" t="n">
        <v>245.2</v>
      </c>
      <c r="E10" s="64" t="n">
        <v>375.69</v>
      </c>
      <c r="F10" s="64" t="n">
        <v>746.51</v>
      </c>
      <c r="G10" s="76">
        <f>IF(OR(E10="",E10=0,F10=""),"",(F10-E10)/E10)</f>
        <v/>
      </c>
      <c r="H10" s="28" t="n"/>
      <c r="I10" s="65" t="inlineStr">
        <is>
          <t>美国报表没有扣非。本行2022至2025用Yahoo Finance的Normalized Income，2021待查，不把这行当成10-K科目。</t>
        </is>
      </c>
    </row>
    <row r="11" ht="20" customHeight="1" s="42">
      <c r="A11" s="9" t="inlineStr">
        <is>
          <t>净利润</t>
        </is>
      </c>
      <c r="B11" s="64" t="n">
        <v>476.92</v>
      </c>
      <c r="C11" s="64" t="n">
        <v>313.08</v>
      </c>
      <c r="D11" s="64" t="n">
        <v>245.54</v>
      </c>
      <c r="E11" s="64" t="n">
        <v>376.33</v>
      </c>
      <c r="F11" s="64" t="n">
        <v>734</v>
      </c>
      <c r="G11" s="76">
        <f>IF(OR(E11="",E11=0,F11=""),"",(F11-E11)/E11)</f>
        <v/>
      </c>
      <c r="H11" s="28" t="n"/>
      <c r="I11" s="41" t="inlineStr">
        <is>
          <t>SEC NetIncomeLoss。</t>
        </is>
      </c>
    </row>
    <row r="12" ht="20" customHeight="1" s="42">
      <c r="A12" s="9" t="inlineStr">
        <is>
          <t>经营现金流</t>
        </is>
      </c>
      <c r="B12" s="64" t="n">
        <v>368.81</v>
      </c>
      <c r="C12" s="64" t="n">
        <v>435.33</v>
      </c>
      <c r="D12" s="64" t="n">
        <v>610.86</v>
      </c>
      <c r="E12" s="64" t="n">
        <v>749.98</v>
      </c>
      <c r="F12" s="64" t="n">
        <v>867.7</v>
      </c>
      <c r="G12" s="76">
        <f>IF(OR(E12="",E12=0,F12=""),"",(F12-E12)/E12)</f>
        <v/>
      </c>
      <c r="H12" s="78">
        <f>IF(OR(F11="",F11=0,F12=""),"",F12/F11)</f>
        <v/>
      </c>
      <c r="I12" s="65" t="inlineStr">
        <is>
          <t>SEC NetCashProvidedByUsedInOperatingActivities。</t>
        </is>
      </c>
    </row>
    <row r="13" ht="20" customHeight="1" s="42">
      <c r="A13" s="9" t="inlineStr">
        <is>
          <t>资本开支</t>
        </is>
      </c>
      <c r="B13" s="64" t="n">
        <v>24.71</v>
      </c>
      <c r="C13" s="64" t="n">
        <v>19.5</v>
      </c>
      <c r="D13" s="64" t="n">
        <v>23.81</v>
      </c>
      <c r="E13" s="64" t="n">
        <v>14.38</v>
      </c>
      <c r="F13" s="64" t="n">
        <v>11.01</v>
      </c>
      <c r="G13" s="76">
        <f>IF(OR(E13="",E13=0,F13=""),"",(F13-E13)/E13)</f>
        <v/>
      </c>
      <c r="H13" s="28" t="n"/>
      <c r="I13" s="65" t="inlineStr">
        <is>
          <t>SEC PaymentsToAcquirePropertyPlantAndEquipment，只含购置不动产、厂房和设备，不含资本化软件。</t>
        </is>
      </c>
    </row>
    <row r="14" ht="20" customHeight="1" s="42">
      <c r="A14" s="9" t="inlineStr">
        <is>
          <t>自由现金流</t>
        </is>
      </c>
      <c r="B14" s="64" t="n">
        <v>344.1</v>
      </c>
      <c r="C14" s="64" t="n">
        <v>415.83</v>
      </c>
      <c r="D14" s="64" t="n">
        <v>587.05</v>
      </c>
      <c r="E14" s="64" t="n">
        <v>735.6</v>
      </c>
      <c r="F14" s="64" t="n">
        <v>856.6900000000001</v>
      </c>
      <c r="G14" s="76">
        <f>IF(OR(E14="",E14=0,F14=""),"",(F14-E14)/E14)</f>
        <v/>
      </c>
      <c r="H14" s="79">
        <f>IF(OR(F12="",F13=""),"",F12-F13)</f>
        <v/>
      </c>
      <c r="I14" s="41" t="inlineStr">
        <is>
          <t>自由现金流=经营现金流减本表资本开支。</t>
        </is>
      </c>
    </row>
    <row r="15" ht="20" customHeight="1" s="42">
      <c r="A15" s="9" t="inlineStr">
        <is>
          <t>ROE</t>
        </is>
      </c>
      <c r="B15" s="77" t="n">
        <v>0.2744</v>
      </c>
      <c r="C15" s="77" t="n">
        <v>0.1445</v>
      </c>
      <c r="D15" s="77" t="n">
        <v>0.0987</v>
      </c>
      <c r="E15" s="77" t="n">
        <v>0.1277</v>
      </c>
      <c r="F15" s="77" t="n">
        <v>0.2085</v>
      </c>
      <c r="G15" s="76">
        <f>IF(OR(E15="",F15=""),"",F15-E15)</f>
        <v/>
      </c>
      <c r="H15" s="28" t="n"/>
      <c r="I15" s="65" t="inlineStr">
        <is>
          <t>ROE=净利润/期初与期末股东权益的平均，不是10-K披露的加权ROE。FY2020期末权益1,438.25百万用于FY2021。</t>
        </is>
      </c>
    </row>
    <row r="16" ht="20" customHeight="1" s="42">
      <c r="A16" s="9" t="inlineStr">
        <is>
          <t>ROIC</t>
        </is>
      </c>
      <c r="B16" s="77" t="n"/>
      <c r="C16" s="77" t="n">
        <v>0.099</v>
      </c>
      <c r="D16" s="77" t="n">
        <v>0.0791</v>
      </c>
      <c r="E16" s="77" t="n">
        <v>0.09669999999999999</v>
      </c>
      <c r="F16" s="77" t="n">
        <v>0.1564</v>
      </c>
      <c r="G16" s="76">
        <f>IF(OR(E16="",F16=""),"",F16-E16)</f>
        <v/>
      </c>
      <c r="H16" s="28" t="n"/>
      <c r="I16" s="65" t="inlineStr">
        <is>
          <t>ROIC=营业利润×(1-所得税费用/税前利润)/（权益+有息负债-现金）。FY2021所得税为收益，这一年留空。不是公司披露的ROIC，也没有可靠WACC。</t>
        </is>
      </c>
    </row>
    <row r="17" ht="20" customHeight="1" s="42">
      <c r="A17" s="9" t="inlineStr">
        <is>
          <t>总资产</t>
        </is>
      </c>
      <c r="B17" s="64" t="n">
        <v>4507.56</v>
      </c>
      <c r="C17" s="64" t="n">
        <v>4687.27</v>
      </c>
      <c r="D17" s="64" t="n">
        <v>6288.84</v>
      </c>
      <c r="E17" s="64" t="n">
        <v>6383.54</v>
      </c>
      <c r="F17" s="64" t="n">
        <v>6617.17</v>
      </c>
      <c r="G17" s="76">
        <f>IF(OR(E17="",E17=0,F17=""),"",(F17-E17)/E17)</f>
        <v/>
      </c>
      <c r="H17" s="28" t="n"/>
      <c r="I17" s="41" t="inlineStr">
        <is>
          <t>SEC Assets。</t>
        </is>
      </c>
    </row>
    <row r="18" ht="20" customHeight="1" s="42">
      <c r="A18" s="9" t="inlineStr">
        <is>
          <t>有息负债</t>
        </is>
      </c>
      <c r="B18" s="64" t="n">
        <v>1648.27</v>
      </c>
      <c r="C18" s="64" t="n">
        <v>1540.2</v>
      </c>
      <c r="D18" s="64" t="n">
        <v>1888.98</v>
      </c>
      <c r="E18" s="64" t="n">
        <v>1930.33</v>
      </c>
      <c r="F18" s="64" t="n">
        <v>1369.87</v>
      </c>
      <c r="G18" s="76">
        <f>IF(OR(E18="",E18=0,F18=""),"",(F18-E18)/E18)</f>
        <v/>
      </c>
      <c r="H18" s="28" t="n"/>
      <c r="I18" s="65" t="inlineStr">
        <is>
          <t>有息负债=非流动长期债务+一年内到期长期债务+经营租赁负债。FY2025：1172.43+25.00+172.43。FY2021的流动借款在companyfacts的FY序列里没有单列，该年只加了长期债务1,439.47和租赁负债208.80。</t>
        </is>
      </c>
    </row>
    <row r="19" ht="20" customHeight="1" s="42">
      <c r="A19" s="9" t="inlineStr">
        <is>
          <t>现金及等价物</t>
        </is>
      </c>
      <c r="B19" s="64" t="n">
        <v>326.53</v>
      </c>
      <c r="C19" s="64" t="n">
        <v>272.18</v>
      </c>
      <c r="D19" s="64" t="n">
        <v>288.1</v>
      </c>
      <c r="E19" s="64" t="n">
        <v>265.81</v>
      </c>
      <c r="F19" s="64" t="n">
        <v>184.42</v>
      </c>
      <c r="G19" s="76">
        <f>IF(OR(E19="",E19=0,F19=""),"",(F19-E19)/E19)</f>
        <v/>
      </c>
      <c r="H19" s="28" t="n"/>
      <c r="I19" s="65" t="inlineStr">
        <is>
          <t>SEC CashAndCashEquivalentsAtCarryingValue。</t>
        </is>
      </c>
    </row>
    <row r="20" ht="20" customHeight="1" s="42">
      <c r="A20" s="9" t="inlineStr">
        <is>
          <t>净负债</t>
        </is>
      </c>
      <c r="B20" s="64" t="n">
        <v>1321.74</v>
      </c>
      <c r="C20" s="64" t="n">
        <v>1268.02</v>
      </c>
      <c r="D20" s="64" t="n">
        <v>1600.88</v>
      </c>
      <c r="E20" s="64" t="n">
        <v>1664.52</v>
      </c>
      <c r="F20" s="64" t="n">
        <v>1185.45</v>
      </c>
      <c r="G20" s="76">
        <f>IF(OR(E20="",E20=0,F20=""),"",(F20-E20)/E20)</f>
        <v/>
      </c>
      <c r="H20" s="79">
        <f>IF(OR(F18="",F19=""),"",F18-F19)</f>
        <v/>
      </c>
      <c r="I20" s="41" t="inlineStr">
        <is>
          <t>净负债=有息负债-现金。</t>
        </is>
      </c>
    </row>
    <row r="21" ht="20" customHeight="1" s="42">
      <c r="A21" s="9" t="inlineStr">
        <is>
          <t>商誉</t>
        </is>
      </c>
      <c r="B21" s="64" t="n">
        <v>2191.89</v>
      </c>
      <c r="C21" s="64" t="n">
        <v>2353.65</v>
      </c>
      <c r="D21" s="64" t="n">
        <v>3358.51</v>
      </c>
      <c r="E21" s="64" t="n">
        <v>3461.89</v>
      </c>
      <c r="F21" s="64" t="n">
        <v>3493.32</v>
      </c>
      <c r="G21" s="76">
        <f>IF(OR(E21="",E21=0,F21=""),"",(F21-E21)/E21)</f>
        <v/>
      </c>
      <c r="H21" s="28" t="n"/>
      <c r="I21" s="41" t="inlineStr">
        <is>
          <t>SEC Goodwill。</t>
        </is>
      </c>
    </row>
    <row r="22" ht="20" customHeight="1" s="42">
      <c r="A22" s="9" t="inlineStr">
        <is>
          <t>应收账款</t>
        </is>
      </c>
      <c r="B22" s="64" t="n">
        <v>541.0700000000001</v>
      </c>
      <c r="C22" s="64" t="n">
        <v>636.5599999999999</v>
      </c>
      <c r="D22" s="64" t="n">
        <v>811.4</v>
      </c>
      <c r="E22" s="64" t="n">
        <v>861.95</v>
      </c>
      <c r="F22" s="64" t="n">
        <v>1001.09</v>
      </c>
      <c r="G22" s="76">
        <f>IF(OR(E22="",E22=0,F22=""),"",(F22-E22)/E22)</f>
        <v/>
      </c>
      <c r="H22" s="28" t="n"/>
      <c r="I22" s="41" t="inlineStr">
        <is>
          <t>SEC AccountsReceivableNetCurrent。</t>
        </is>
      </c>
    </row>
    <row r="23" ht="20" customHeight="1" s="42">
      <c r="A23" s="9" t="inlineStr">
        <is>
          <t>存货</t>
        </is>
      </c>
      <c r="B23" s="64" t="n"/>
      <c r="C23" s="64" t="n"/>
      <c r="D23" s="64" t="n"/>
      <c r="E23" s="64" t="n"/>
      <c r="F23" s="64" t="n"/>
      <c r="G23" s="76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64" t="n">
        <v>117.163</v>
      </c>
      <c r="C24" s="64" t="n">
        <v>117.472</v>
      </c>
      <c r="D24" s="64" t="n">
        <v>118.846</v>
      </c>
      <c r="E24" s="64" t="n">
        <v>120.155</v>
      </c>
      <c r="F24" s="64" t="n">
        <v>119.536</v>
      </c>
      <c r="G24" s="76">
        <f>IF(OR(E24="",E24=0,F24=""),"",(F24-E24)/E24)</f>
        <v/>
      </c>
      <c r="H24" s="28" t="n"/>
      <c r="I24" s="65" t="inlineStr">
        <is>
          <t>SEC CommonStockSharesOutstanding，财年末已发行股数，单位百万股。现价对应的股本用的是2026-07-29的108,506,261股，不填进这一行。</t>
        </is>
      </c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65" t="inlineStr">
        <is>
          <t>FY2021至FY2025收入18.07亿、19.33亿、20.97亿、22.98亿、27.39亿美元，最新一年同比19.2%。净利润4.77亿、3.13亿、2.46亿、3.76亿、7.34亿，最新一年同比95.0%，快于收入。自由现金流3.44亿、4.16亿、5.87亿、7.36亿、8.57亿，和收入同向。利润增速快于现金流增速，但当年经营现金流仍高于净利润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65" t="inlineStr">
        <is>
          <t>毛利率从FY2024的0.8065升到FY2025的0.8375。销售费用FY2025为566.52百万，管理费用226.06百万，研发费用457.69百万。费用没有快过毛利的改善。净利跳升不是靠把销售费用砍掉。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65" t="inlineStr">
        <is>
          <t>自算FY2025 ROIC 0.1564，FY2024 ROIC 0.0967。没有可靠WACC，不写成已经高于资本成本。ROE从FY2024的0.1277升到FY2025的0.2085，同时有息负债从19.30亿降到13.70亿，不是靠加杠杆抬ROE。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65" t="inlineStr">
        <is>
          <t>FY2025经营现金流867.70百万，是净利润734.00百万的1.18倍。应计为负。资本开支只有11.01百万，自由现金流856.69百万。现金转化稳定，但FY2025仍包含后来在2026年3月卖掉的Kepware和ThingWorx。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65" t="inlineStr">
        <is>
          <t>现金184.42百万低于有息负债1,369.87百万，净负债1,185.45百万，大约1.4年经营现金流可以覆盖。商誉3,493.32百万，占总资产的0.528，是资产负债表上最大的包。应收账款1,001.09百万，快于收入：应收/收入从FY2024的0.375升不到，实际降到0.366。存货在companyfacts里没有InventoryNet，这一行待查，不填0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4" t="n">
        <v>376.33</v>
      </c>
      <c r="C7" s="64" t="n">
        <v>734</v>
      </c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4" t="n">
        <v>6383.54</v>
      </c>
      <c r="C8" s="64" t="n">
        <v>6617.17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4" t="n">
        <v>749.98</v>
      </c>
      <c r="C9" s="64" t="n">
        <v>867.7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4" t="n">
        <v>1930.33</v>
      </c>
      <c r="C10" s="64" t="n">
        <v>1369.87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4" t="n">
        <v>1298.71</v>
      </c>
      <c r="C11" s="64" t="n">
        <v>1383.37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4" t="n">
        <v>1667.19</v>
      </c>
      <c r="C12" s="64" t="n">
        <v>1237.4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4" t="n">
        <v>120.155</v>
      </c>
      <c r="C13" s="64" t="n">
        <v>119.536</v>
      </c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4" t="n">
        <v>1853.66</v>
      </c>
      <c r="C14" s="64" t="n">
        <v>2294.24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4" t="n">
        <v>2298.47</v>
      </c>
      <c r="C15" s="64" t="n">
        <v>2739.23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4" t="n">
        <v>1349.61</v>
      </c>
      <c r="C16" s="64" t="n">
        <v>2083.61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4" t="n">
        <v>588.0599999999999</v>
      </c>
      <c r="C17" s="64" t="n">
        <v>982.39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4" t="n">
        <v>3169.14</v>
      </c>
      <c r="C18" s="64" t="n">
        <v>2790.94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64" t="n"/>
      <c r="C19" s="64" t="n">
        <v>20861.41</v>
      </c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64" t="n"/>
      <c r="C20" s="64" t="n"/>
      <c r="D20" s="45" t="inlineStr">
        <is>
          <t>留空则用右边自动值</t>
        </is>
      </c>
      <c r="E20" s="79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4" t="n">
        <v>861.95</v>
      </c>
      <c r="C21" s="64" t="n">
        <v>1001.09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4" t="n">
        <v>75.19</v>
      </c>
      <c r="C22" s="64" t="n">
        <v>60.84</v>
      </c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64" t="n">
        <v>27.6</v>
      </c>
      <c r="C23" s="64" t="n">
        <v>23.7</v>
      </c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4" t="n">
        <v>791.33</v>
      </c>
      <c r="C24" s="64" t="n">
        <v>792.5700000000001</v>
      </c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非制造/新兴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0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0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0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0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0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0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0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0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有</t>
        </is>
      </c>
      <c r="C7" s="65" t="inlineStr">
        <is>
          <t>CAD和PLM软件是无形资产。FY2025收入27.39亿美元、营业利润9.82亿美元。要闻写全球客户超过3万家。2026年3月已卖掉Kepware和ThingWorx，FY2025收入里还有这两块，不能把新闻稿里剔除这两块之后的24亿欧元当成10-K收入。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有</t>
        </is>
      </c>
      <c r="C8" s="65" t="inlineStr">
        <is>
          <t>设计数据嵌在客户的产品开发流程里，转换成本高。10-K和新闻稿都没有给出可引用的续约率，所以这是业务结构判断，不是审计过的留存率。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无</t>
        </is>
      </c>
      <c r="C9" s="41" t="inlineStr">
        <is>
          <t>工业软件不是双边网络。客户数量增加不会自动让另一个客户更有价值。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弱</t>
        </is>
      </c>
      <c r="C10" s="65" t="inlineStr">
        <is>
          <t>FY2025毛利率0.8375。这是软件成本结构，不是相对每一家同行的成本审计。同行中位待查。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无</t>
        </is>
      </c>
      <c r="C11" s="65" t="inlineStr">
        <is>
          <t>工业软件不是只能容纳一家公司的利基。施耐德收购它，说明买家认为这块能力可以买到，不是进不去。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65" t="inlineStr">
        <is>
          <t>自算FY2025 ROIC 0.1564。没有可靠WACC，不写成完整周期高于资本成本。再投资的问题被现金要约盖过：上行被205美元封住。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>
        <v>31.62</v>
      </c>
      <c r="C16" s="35" t="inlineStr">
        <is>
          <t>待查</t>
        </is>
      </c>
      <c r="D16" s="35" t="inlineStr">
        <is>
          <t>待查</t>
        </is>
      </c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>
        <v>5.45</v>
      </c>
      <c r="C17" s="35" t="inlineStr">
        <is>
          <t>待查</t>
        </is>
      </c>
      <c r="D17" s="35" t="inlineStr">
        <is>
          <t>待查</t>
        </is>
      </c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inlineStr">
        <is>
          <t>待查</t>
        </is>
      </c>
      <c r="C18" s="35" t="inlineStr">
        <is>
          <t>待查</t>
        </is>
      </c>
      <c r="D18" s="35" t="inlineStr">
        <is>
          <t>待查</t>
        </is>
      </c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>
        <v>20.96</v>
      </c>
      <c r="C19" s="35" t="inlineStr">
        <is>
          <t>待查</t>
        </is>
      </c>
      <c r="D19" s="35" t="inlineStr">
        <is>
          <t>待查</t>
        </is>
      </c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>
        <v>8.050000000000001</v>
      </c>
      <c r="C20" s="35" t="inlineStr">
        <is>
          <t>待查</t>
        </is>
      </c>
      <c r="D20" s="35" t="inlineStr">
        <is>
          <t>待查</t>
        </is>
      </c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>
        <v>0.0411</v>
      </c>
      <c r="C21" s="35" t="inlineStr">
        <is>
          <t>待查</t>
        </is>
      </c>
      <c r="D21" s="35" t="inlineStr">
        <is>
          <t>待查</t>
        </is>
      </c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7" t="n">
        <v>0.2</v>
      </c>
      <c r="C25" s="64" t="n">
        <v>6.08</v>
      </c>
      <c r="D25" s="81" t="n">
        <v>23.68914473684211</v>
      </c>
      <c r="E25" s="79">
        <f>IF(OR(C25="",D25=""),"",C25*D25)</f>
        <v/>
      </c>
      <c r="F25" s="76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7" t="n">
        <v>0.55</v>
      </c>
      <c r="C26" s="64" t="n">
        <v>6.08</v>
      </c>
      <c r="D26" s="81" t="n">
        <v>31.56372615429818</v>
      </c>
      <c r="E26" s="79">
        <f>IF(OR(C26="",D26=""),"",C26*D26)</f>
        <v/>
      </c>
      <c r="F26" s="76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7" t="n">
        <v>0.25</v>
      </c>
      <c r="C27" s="64" t="n">
        <v>6.08</v>
      </c>
      <c r="D27" s="81" t="n">
        <v>33.7171052631579</v>
      </c>
      <c r="E27" s="79">
        <f>IF(OR(C27="",D27=""),"",C27*D27)</f>
        <v/>
      </c>
      <c r="F27" s="76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79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6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65" t="inlineStr">
        <is>
          <t>要闻写，收入和年度经常性收入到2029年每年约增长10%是券商共识，而且收入口径剔除了ThingWorx和Kepware，不是10月5日新给的订单指引。没有取到可引用的一致预期EPS。</t>
        </is>
      </c>
      <c r="C35" s="65" t="inlineStr">
        <is>
          <t>我不把10%写成自己的收入预测，也不把已剥离业务的FY2025收入外推。基准只处理要约：2027年8月15日附近收到205美元，按8%折现。</t>
        </is>
      </c>
      <c r="D35" s="41" t="inlineStr">
        <is>
          <t>FY2025收入同比0.1918。这个增速含后来卖掉的业务。五年市盈率中位待查。</t>
        </is>
      </c>
      <c r="E35" s="41" t="inlineStr">
        <is>
          <t>市场用192.26美元表达的，是高成交概率的205美元，不是10%的内生增长。</t>
        </is>
      </c>
      <c r="F35" s="41" t="inlineStr">
        <is>
          <t>2026-10-06要闻焦点一；SEC 10-K收入。</t>
        </is>
      </c>
    </row>
    <row r="36" ht="24" customHeight="1" s="42">
      <c r="A36" s="9" t="inlineStr">
        <is>
          <t>利润率</t>
        </is>
      </c>
      <c r="B36" s="65" t="inlineStr">
        <is>
          <t>新闻稿经调整息税摊销前利润率约40%，脚注写成不含摊销的非公认会计准则经营利润再减股份薪酬。这不是GAAP。</t>
        </is>
      </c>
      <c r="C36" s="65" t="inlineStr">
        <is>
          <t>FY2025 GAAP营业利润率0.3586（982.39/2739.23）。我不把40%的调整后利润率写进情景。</t>
        </is>
      </c>
      <c r="D36" s="41" t="inlineStr">
        <is>
          <t>毛利率FY2024为0.8065，FY2025为0.8375。</t>
        </is>
      </c>
      <c r="E36" s="41" t="inlineStr">
        <is>
          <t>利润率不是我额外乐观的地方。上行被现金要约封住。</t>
        </is>
      </c>
      <c r="F36" s="41" t="inlineStr">
        <is>
          <t>10-K营业利润与收入；要闻对调整后利润率的脚注。</t>
        </is>
      </c>
    </row>
    <row r="37" ht="24" customHeight="1" s="42">
      <c r="A37" s="9" t="inlineStr">
        <is>
          <t>FCF / 派息</t>
        </is>
      </c>
      <c r="B37" s="65" t="inlineStr">
        <is>
          <t>FY2025自由现金流856.69百万美元，对当前股权市值的自由现金流收益率0.0411。这是历史现金流，不是要约对价。</t>
        </is>
      </c>
      <c r="C37" s="65" t="inlineStr">
        <is>
          <t>基准不把FY2025自由现金流按增长资本化。现金要约一旦交割，股东拿到的是205美元，不是永续自由现金流。</t>
        </is>
      </c>
      <c r="D37" s="41" t="inlineStr">
        <is>
          <t>自由现金流FY2023至FY2025为5.87亿、7.36亿、8.57亿美元。</t>
        </is>
      </c>
      <c r="E37" s="41" t="inlineStr">
        <is>
          <t>现金流质量支持公司能独立活下去，但不证明192.26美元低于要约的现值。</t>
        </is>
      </c>
      <c r="F37" s="41" t="inlineStr">
        <is>
          <t>10-K经营现金流减购置不动产厂房设备的现金；市值自算。</t>
        </is>
      </c>
    </row>
    <row r="38" ht="24" customHeight="1" s="42">
      <c r="A38" s="9" t="inlineStr">
        <is>
          <t>竞争格局</t>
        </is>
      </c>
      <c r="B38" s="65" t="inlineStr">
        <is>
          <t>市场把10月5日的上涨读成收购协议已经签署。复盘写收盘仍低于205美元，交割预计2027年三季度。</t>
        </is>
      </c>
      <c r="C38" s="65" t="inlineStr">
        <is>
          <t>我同意协议已经签署，不同意把交割写成已经发生。要闻写8-K协议日是10月4日，新闻稿宣布日是10月5日。终止费7亿美元和过桥本金250亿美元只在8-K。</t>
        </is>
      </c>
      <c r="D38" s="65" t="inlineStr">
        <is>
          <t>公告前收盘144.03美元已经反映剥离之后的公司。20日涨36.3%里，大部分是10月5日当天的33.49%。</t>
        </is>
      </c>
      <c r="E38" s="41" t="inlineStr">
        <is>
          <t>预期差在交割概率和时间，不在新的软件订单。</t>
        </is>
      </c>
      <c r="F38" s="41" t="inlineStr">
        <is>
          <t>2026-10-06要闻；2026-10-06收盘复盘。</t>
        </is>
      </c>
    </row>
    <row r="39" ht="24" customHeight="1" s="42">
      <c r="A39" s="9" t="inlineStr">
        <is>
          <t>倍数/折现率</t>
        </is>
      </c>
      <c r="B39" s="65" t="inlineStr">
        <is>
          <t>静态市盈率31.62倍，用192.26除以FY2025稀释每股收益6.08美元。这个6.08美元含后来剥离的业务。市净率5.45倍。EV/EBITDA 20.96倍，企业价值用2026-10-05价格和2026-07-29股本，债务和现金仍是2025-09-30。</t>
        </is>
      </c>
      <c r="C39" s="65" t="inlineStr">
        <is>
          <t>熊市价格144.03美元，等于6.08乘以23.6891。基准191.91美元，等于6.08乘以31.5637。牛市205.00美元，等于6.08乘以33.7171。概率0.20、0.55、0.25。</t>
        </is>
      </c>
      <c r="D39" s="65" t="inlineStr">
        <is>
          <t>自身五年中位和同行中位待查。不把新闻稿的42.3%溢价再乘一次到牛市价格上。牛市就是要约价205美元。</t>
        </is>
      </c>
      <c r="E39" s="65" t="inlineStr">
        <is>
          <t>概率加权价185.61美元，比现价192.26美元低3.5%。总上涨空间只有要约价，毛价差6.6%。</t>
        </is>
      </c>
      <c r="F39" s="65" t="inlineStr">
        <is>
          <t>情景里的8%折现和0.20破裂概率是假设，不是公司指引。折现日取2027-08-15，作为新闻稿所写2027年三季度的中点。</t>
        </is>
      </c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65" t="inlineStr">
        <is>
          <t>过去30天的核心叙事只有一件事：施耐德以每股205美元现金收购PTC，协议已签署，尚未交割。要闻和复盘写的是同一件事。没有第二套订单故事。</t>
        </is>
      </c>
      <c r="C7" s="48" t="inlineStr">
        <is>
          <t>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inlineStr">
        <is>
          <t>2026-10-06要闻焦点一；2026-10-06收盘复盘美股PTC段。</t>
        </is>
      </c>
    </row>
    <row r="8" ht="36" customHeight="1" s="42">
      <c r="A8" s="9" t="inlineStr">
        <is>
          <t>社交与散户</t>
        </is>
      </c>
      <c r="B8" s="41" t="inlineStr">
        <is>
          <t>没有取到可靠的社交提及量。</t>
        </is>
      </c>
      <c r="C8" s="48" t="inlineStr">
        <is>
          <t>待查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inlineStr">
        <is>
          <t>社交提及量待查。</t>
        </is>
      </c>
    </row>
    <row r="9" ht="36" customHeight="1" s="42">
      <c r="A9" s="9" t="inlineStr">
        <is>
          <t>卖方与资金</t>
        </is>
      </c>
      <c r="B9" s="65" t="inlineStr">
        <is>
          <t>一致预期目标价待查。要闻里的约10%增速是券商共识脚注，不是目标价，而且收入口径剔除了ThingWorx和Kepware。</t>
        </is>
      </c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inlineStr">
        <is>
          <t>2026-10-06要闻。卖方目标价家数待查。</t>
        </is>
      </c>
    </row>
    <row r="10" ht="36" customHeight="1" s="42">
      <c r="A10" s="9" t="inlineStr">
        <is>
          <t>期权与波动</t>
        </is>
      </c>
      <c r="B10" s="65" t="inlineStr">
        <is>
          <t>没有取到期权隐含波动率。10月5日成交额56.82亿美元，是协议日的放量。截至10月5日的20个交易日，用雅虎收盘价乘成交量，日均成交额507,716,279美元，被10月5日单日拉高。</t>
        </is>
      </c>
      <c r="C10" s="48" t="inlineStr">
        <is>
          <t>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65" t="inlineStr">
        <is>
          <t>雅虎日线PTC，2026-09-08至2026-10-05共20个交易日。10月6日盘中价不计入。</t>
        </is>
      </c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是</t>
        </is>
      </c>
      <c r="D14" s="65" t="inlineStr">
        <is>
          <t>叙事一句：现金要约已经签署，收盘仍低于205美元。复盘写收盘192.26美元，前收144.03美元，涨33.49%，开盘195.84，最高196.05，最低191.92，成交额56.82亿美元。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65" t="inlineStr">
        <is>
          <t>一致预期EPS待查。分歧不建立在没打开的卖方模型上。我用的是要约价和破裂后回到144.03美元，不是明年EPS。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是</t>
        </is>
      </c>
      <c r="D16" s="65" t="inlineStr">
        <is>
          <t>复盘：10月5日涨33.49%，20日涨36.3%，成交额56.82亿美元，估算市值约209亿美元。雅虎10月5日收盘192.26美元，与复盘一致。10月6日盘中约193美元，不采用。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inlineStr">
        <is>
          <t>没有打开最新的13F。董事会建议批准是治理事实，不是基金持仓方向。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65" t="inlineStr">
        <is>
          <t>期权IV Rank和Put/Call待查。能核对的是成交：10月5日放量，收盘低于开盘，仍远高于前收。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是</t>
        </is>
      </c>
      <c r="D19" s="65" t="inlineStr">
        <is>
          <t>市场已经定价一份已签署、未交割的205美元现金。我额外不押更高报价，也不把6.6%的毛价差当成足够的时间补偿。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65" t="inlineStr">
        <is>
          <t>每股205美元现金、股权价值约226亿美元、交割预计2027年三季度、收盘192.26美元低于要约价。若破裂回到144.03美元，现价隐含的交割概率约0.79。</t>
        </is>
      </c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65" t="inlineStr">
        <is>
          <t>不押更高报价。押的是否定项：在192.26美元，按0.20的破裂概率和8%的时间折现，概率加权价低于现价。</t>
        </is>
      </c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2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7" t="n">
        <v>0.2509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2" t="n">
        <v>507716279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7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3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3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3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3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6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3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65" t="inlineStr">
        <is>
          <t>监管或股东投票否决，协议终止，价格回到公告前收盘144.03美元一带。这是攻击「192.26美元仍有安全垫」的一条。</t>
        </is>
      </c>
      <c r="C21" s="65" t="inlineStr">
        <is>
          <t>要闻：哈特-斯科特-罗迪诺等待期和美国外国投资委员会被8-K点名，点名不等于获批。终止费在特定情形下为7亿美元。复盘：收盘192.26美元，低于205美元。</t>
        </is>
      </c>
      <c r="D21" s="41" t="inlineStr">
        <is>
          <t>公司或施耐德是否公告协议终止、改价，或监管被拒绝。</t>
        </is>
      </c>
      <c r="E21" s="41" t="inlineStr">
        <is>
          <t>终止则按破裂处理，不把205美元留在目标价里。在192.26美元不新开仓。</t>
        </is>
      </c>
      <c r="F21" s="48" t="inlineStr">
        <is>
          <t>高</t>
        </is>
      </c>
    </row>
    <row r="22" ht="36" customHeight="1" s="42">
      <c r="A22" s="2" t="inlineStr">
        <is>
          <t>2</t>
        </is>
      </c>
      <c r="B22" s="65" t="inlineStr">
        <is>
          <t>交割晚于2027年三季度，6.6%的毛价差被时间吃掉，价格停在192美元附近甚至回落。</t>
        </is>
      </c>
      <c r="C22" s="65" t="inlineStr">
        <is>
          <t>新闻稿写交割预计2027年三季度，不是已经确定的日期。合并不以取得融资为条件，但监管许可仍是条件。</t>
        </is>
      </c>
      <c r="D22" s="41" t="inlineStr">
        <is>
          <t>代理说明书有没有发出，HSR等待期有没有结束。要闻把这两项列为跟踪指标。</t>
        </is>
      </c>
      <c r="E22" s="65" t="inlineStr">
        <is>
          <t>若官方时间表改到2027年三季度之后，基准折现要重算，不沿用191.91美元。</t>
        </is>
      </c>
      <c r="F22" s="48" t="inlineStr">
        <is>
          <t>中</t>
        </is>
      </c>
    </row>
    <row r="23" ht="36" customHeight="1" s="42">
      <c r="A23" s="2" t="inlineStr">
        <is>
          <t>3</t>
        </is>
      </c>
      <c r="B23" s="65" t="inlineStr">
        <is>
          <t>把FY2025每股收益6.08美元或2026年3月的剥离收益当成交割后还在的利润，从而认为205美元还有向上修正。</t>
        </is>
      </c>
      <c r="C23" s="65" t="inlineStr">
        <is>
          <t>10-Q：2026年3月13日出售Kepware和ThingWorx，收到5.23亿美元，确认税前收益4.626亿美元，相关所得税费用1.024亿美元。FY2026第二季度净利润5.907亿美元，相邻季度是1.665亿和1.188亿。</t>
        </is>
      </c>
      <c r="D23" s="41" t="inlineStr">
        <is>
          <t>下一份季报的净利润里还有没有这笔收益。不应再出现。</t>
        </is>
      </c>
      <c r="E23" s="41" t="inlineStr">
        <is>
          <t>收益不再重复时，不把TTM市盈率当成便宜。要约价仍然是205美元，不是更高。</t>
        </is>
      </c>
      <c r="F23" s="48" t="inlineStr">
        <is>
          <t>高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inlineStr">
        <is>
          <t>看到2027年三季度交割或协议终止，以先发生者为准。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65" t="inlineStr">
        <is>
          <t>不在192.26美元买。若要建仓，价格应不高于概率加权价185.61美元，且8-K没有把要约价改低、也没有出现监管拒绝。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65" t="inlineStr">
        <is>
          <t>基本面证伪：协议终止或要约价低于205美元。价格补充位是2026年10月2日收盘144.03美元，相对192.26美元的跌幅0.2509。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65" t="inlineStr">
        <is>
          <t>涨到205美元是要约兑现，不是新的买入理由。到价附近应停止等待中的建仓，而不是因为逼近要约加仓。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65" t="inlineStr">
        <is>
          <t>下一次看代理说明书、HSR等待期和2027年三季度是否仍是官方时间表。10月6日美股盘中价不改10月5日收盘。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65" t="inlineStr">
        <is>
          <t>与工业软件并购套利重叠。组合里若已有同一笔施耐德-PTC的风险，不另开一笔。AMD已在2026-09-29分析，不是这只。</t>
        </is>
      </c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是</t>
        </is>
      </c>
      <c r="C35" s="65" t="inlineStr">
        <is>
          <t>FY2025收入含2026年3月已出售的Kepware和ThingWorx。交割前的独立经营数字不能直接外推到交割后。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否</t>
        </is>
      </c>
      <c r="C36" s="65" t="inlineStr">
        <is>
          <t>有息负债13.70亿美元，经营现金流8.68亿美元，利息覆盖约12.8倍。杠杆不是先绑仓位的那一条。商誉占资产0.528，在现金要约下不单独加大仓位。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是</t>
        </is>
      </c>
      <c r="C37" s="41" t="inlineStr">
        <is>
          <t>现价高于概率加权价。毛价差只有6.6%，下行到144.03美元是25.1%。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是</t>
        </is>
      </c>
      <c r="C38" s="65" t="inlineStr">
        <is>
          <t>10月5日涨33.49%，20日涨36.3%。波动用破裂跌幅定仓位，不用当天涨幅去加大仓位。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否</t>
        </is>
      </c>
      <c r="C39" s="65" t="inlineStr">
        <is>
          <t>20个交易日日均成交额507716279美元。流动性上限约25385814美元，高于风险预算给出的金额，所以流动性不先绑仓位。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是</t>
        </is>
      </c>
      <c r="C40" s="65" t="inlineStr">
        <is>
          <t>交易尚未交割。8-K写特定情形终止费7亿美元，过桥本金250亿美元。新闻稿的220亿欧元、增发50至60亿欧元、新债160至170亿欧元不与250亿美元换算。监管许可仍未取得。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5" t="inlineStr">
        <is>
          <t>① 内在价值：贵。概率加权价185.61美元，相对10月5日收盘192.26美元为-3.5%。基准价191.91美元。② 近月方向：偏多。复盘写10月5日涨33.49%，20日涨36.3%，收盘仍低于205美元。③ 动作：等待。区间：144.03 ~ 205.00 USD。最大风险：把未交割的205美元或剥离收益写成已经到手的利润。云端无 Excel，汇总按模板公式计算。初筛闸门为通过，五项都是「是」。F=9，分项[1, 1, 1, 1, 1, 1, 1, 1, 1]，9项齐全，评级强。Z=10.02，模型用非制造/新兴，读数较安全。这个Z被要约后的市值抬高，不是10月5日资产负债表变了。M=-2.38，低于-1.78，未触发盈余操纵阈值。建议仓位上限1.99%。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65" t="inlineStr">
        <is>
          <t>收入是工业软件订阅和云服务。FY2025营业收入2,739.23百万美元，毛利2,294.24百万美元，营业利润982.39百万美元，净利润734.00百万美元，经营现金流867.70百万美元，购置不动产厂房设备支付11.01百万美元，自由现金流856.69百万美元。来源：SEC Form 10-K，财年截至2025-09-30，2025-11-21申报。要闻把公司写成复杂工业产品的设计、工程和数据管理软件，全球客户超过3万家。护城河在软件无形资产和转换成本。自算ROIC 0.1564，没有证明高于资本成本。近12个月的大事是2026年3月13日出售Kepware和ThingWorx，以及2026年10月5日签署被施耐德现金收购的最终协议。出售收到5.23亿美元，税前收益4.626亿美元，见截至2026-03-31的10-Q。收购每股205美元，尚未交割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65" t="inlineStr">
        <is>
          <t>周期位置不靠宏观。要闻同日写标普500涨0.66%、纳指涨1.05%，PTC涨33%是协议而不是指数。复盘写10月5日道指涨0.18%，费城半导体只涨0.27%。同行倍数中位待查，不编造。会改变股东回报的文件是收购协议，不是新的软件订单。要闻写成本协同每年2.5亿欧元、收入协同约8亿欧元，都是施耐德的预期，不进PTC股东的205美元。A股10月1日至7日休市，与这只美股的10月5日收盘不是同一个交易日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65" t="inlineStr">
        <is>
          <t>FY2021至FY2025收入18.07亿、19.33亿、20.97亿、22.98亿、27.39亿美元。毛利率0.7947、0.8004、0.7897、0.8065、0.8375。净利润4.77亿、3.13亿、2.46亿、3.76亿、7.34亿美元。经营现金流3.69亿、4.35亿、6.11亿、7.50亿、8.68亿美元。自由现金流3.44亿、4.16亿、5.87亿、7.36亿、8.57亿美元。数字来自SEC companyfacts的10-K比较列，单位换算为百万美元后保留两位小数。FY2025经营现金流高于净利润，应计为负。商誉3,493.32百万，占资产0.528。应收账款增速没有快过收入。可信度A：关键利润和现金流对得到10-K。扣非行用的Yahoo Normalized Income只作对照，不作为闸门依据。不采用雅虎行情页上的TTM每股收益10.31美元。FY2026第二季度净利润5.907亿美元里含4.626亿美元税前剥离收益，相邻季度没有这个量级。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65" t="inlineStr">
        <is>
          <t>相对：静态市盈率31.62倍，分母是FY2025稀释每股收益6.08美元，分子是192.26美元。这个每股收益含后来剥离的业务，所以倍数偏低地描述了持续经营。市净率5.45倍，股权市值20861.41百万美元除以FY2025权益3,826.23百万。股本用10-Q截至2026-07-29的108,506,261股，不把新闻稿226亿美元除以205美元倒出来的股数写成已发行股本。企业价值22046.86百万美元，等于市值加FY2025有息负债1,369.87百万减现金184.42百万。债务和现金没有滚到剥离和回购之后，这个企业价值是时点拼合。EBITDA用营业利润982.39加PPE折旧23.70加无形资产摊销45.95，等于1052.04百万。EV/EBITDA 20.96倍。EV/Sales 8.05倍。自由现金流收益率0.0411。五年中位和同行中位待查。绝对：Bear 144.03美元，概率0.20，对应协议终止后回到10月2日收盘144.03美元。Base 191.91美元，概率0.55，把205美元按8%折现到2027年8月15日，距2026年10月6日313天。Bull 205.00美元，概率0.25，就是要约价，不假设加价。概率合计1。概率加权价185.61美元。共识方面，约10%的增速是要闻所引的券商共识，口径还剔除了已出售业务，我不把它写成自己的预测。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65" t="inlineStr">
        <is>
          <t>叙事一句：协议已签署，钱还没到账，收盘低于205美元。新闻热，成交在协议日放量，社交和期权待查，卖方目标价待查。市场已定价205美元里的大部分。若破裂价格是144.03美元，192.26美元隐含交割概率约0.79。我额外不押更高报价。我假设破裂概率0.20、交割中点2027年8月15日、折现8%，加权价185.61美元，低于现价。复盘写开盘195.84、最高196.05、最低191.92、收盘192.26，收盘低于开盘。20日涨36.3%。要闻写路透只给了33%的涨幅、没有收盘价，第三方行情页上的192.26美元与其自身开盘涨跌对不上所以要闻不采用；本备忘的192.26美元来自收盘复盘，并与雅虎日线10月5日收盘一致，开盘195.84也与复盘一致，因此采用收盘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65" t="inlineStr">
        <is>
          <t>事件：特别股东大会日期和流通股简单多数；HSR等待期；CFIUS；官方交割时间是否仍是2027年三季度。若兑现，股东在交割时收到每股205美元现金，PTC普通股按8-K所述从纳斯达克摘牌。看的数字是要约价有没有改、交割有没有发生。若不兑现，205美元不是收入，价格参照144.03美元而不是要约。要闻写的增发50亿至60亿欧元是施耐德的融资，不是PTC股东的额外对价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65" t="inlineStr">
        <is>
          <t>一年后失败的三个原因。第一，监管或股东否决，价格回到144美元一带，这是攻击现价的核心一条。监控是终止公告和监管决定。第二，交割拖过2027年三季度，6.6%的毛价差覆盖不了等待。监控是代理说明书和时间表。第三，把剥离收益或FY2025含已出售业务的利润当成还会增长的收益，从而在205美元之上找空间。监控是后续季报不再重复4.626亿美元的税前收益。要约本身没有分成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65" t="inlineStr">
        <is>
          <t>仓位上限1.99%。假设组合权益100万美元，单票风险预算0.005，证伪跌幅0.2509。建议金额约19928美元，约103.7股。这是上限，不是现价买单。日均成交额507716279美元，流动性占用上限0.05，流动性金额大于风险预算金额，所以取风险预算这一侧。建仓区间：不高于185.61美元，且要约价仍是205美元、没有监管拒绝。证伪：协议终止，或价格补充位144.03美元。下次复盘：代理说明书或监管时间表更新。10月6日美股尚未在本次所用的材料里收盘，盘中价不改写10月5日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2026-10-06T19:11:36Z</dcterms:modified>
  <cp:lastModifiedBy>张哥</cp:lastModifiedBy>
</cp:coreProperties>
</file>