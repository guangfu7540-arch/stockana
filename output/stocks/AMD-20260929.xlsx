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145" yWindow="2145" windowWidth="17280" windowHeight="9983" tabRatio="600" firstSheet="0" activeTab="1" autoFilterDateGrouping="1"/>
  </bookViews>
  <sheets>
    <sheet xmlns:r="http://schemas.openxmlformats.org/officeDocument/2006/relationships" name="使用说明" sheetId="1" state="visible" r:id="rId1"/>
    <sheet xmlns:r="http://schemas.openxmlformats.org/officeDocument/2006/relationships" name="封面" sheetId="2" state="visible" r:id="rId2"/>
    <sheet xmlns:r="http://schemas.openxmlformats.org/officeDocument/2006/relationships" name="初筛" sheetId="3" state="visible" r:id="rId3"/>
    <sheet xmlns:r="http://schemas.openxmlformats.org/officeDocument/2006/relationships" name="财务" sheetId="4" state="visible" r:id="rId4"/>
    <sheet xmlns:r="http://schemas.openxmlformats.org/officeDocument/2006/relationships" name="评分" sheetId="5" state="visible" r:id="rId5"/>
    <sheet xmlns:r="http://schemas.openxmlformats.org/officeDocument/2006/relationships" name="估值" sheetId="6" state="visible" r:id="rId6"/>
    <sheet xmlns:r="http://schemas.openxmlformats.org/officeDocument/2006/relationships" name="情绪" sheetId="7" state="visible" r:id="rId7"/>
    <sheet xmlns:r="http://schemas.openxmlformats.org/officeDocument/2006/relationships" name="风险" sheetId="8" state="visible" r:id="rId8"/>
    <sheet xmlns:r="http://schemas.openxmlformats.org/officeDocument/2006/relationships" name="备忘录" sheetId="9" state="visible" r:id="rId9"/>
    <sheet xmlns:r="http://schemas.openxmlformats.org/officeDocument/2006/relationships" name="工具" sheetId="10" state="visible" r:id="rId10"/>
  </sheets>
  <definedNames>
    <definedName name="Price">封面!$B$9</definedName>
    <definedName name="Ticker">封面!$B$5</definedName>
  </definedNames>
  <calcPr calcId="181029" fullCalcOnLoad="1"/>
</workbook>
</file>

<file path=xl/styles.xml><?xml version="1.0" encoding="utf-8"?>
<styleSheet xmlns="http://schemas.openxmlformats.org/spreadsheetml/2006/main">
  <numFmts count="7">
    <numFmt numFmtId="164" formatCode="#,##0.00;\(#,##0.00\);\-"/>
    <numFmt numFmtId="165" formatCode="0.0%"/>
    <numFmt numFmtId="166" formatCode="#,##0;\(#,##0\);\-"/>
    <numFmt numFmtId="167" formatCode="0.00\x"/>
    <numFmt numFmtId="168" formatCode="0.000"/>
    <numFmt numFmtId="169" formatCode="0.0"/>
    <numFmt numFmtId="170" formatCode="yyyy-mm-dd h:mm:ss"/>
  </numFmts>
  <fonts count="12">
    <font>
      <name val="宋体"/>
      <family val="2"/>
      <color theme="1"/>
      <sz val="11"/>
      <scheme val="minor"/>
    </font>
    <font>
      <name val="Microsoft YaHei"/>
      <charset val="134"/>
      <family val="2"/>
      <b val="1"/>
      <color rgb="FFFFFFFF"/>
      <sz val="18"/>
    </font>
    <font>
      <name val="Microsoft YaHei"/>
      <charset val="134"/>
      <family val="2"/>
      <color rgb="FF666666"/>
      <sz val="9"/>
    </font>
    <font>
      <name val="Microsoft YaHei"/>
      <charset val="134"/>
      <family val="2"/>
      <b val="1"/>
      <color rgb="FFFFFFFF"/>
      <sz val="14"/>
    </font>
    <font>
      <name val="Microsoft YaHei"/>
      <charset val="134"/>
      <family val="2"/>
      <b val="1"/>
      <color rgb="FFFFFFFF"/>
      <sz val="10"/>
    </font>
    <font>
      <name val="Microsoft YaHei"/>
      <charset val="134"/>
      <family val="2"/>
      <b val="1"/>
      <color rgb="FF333333"/>
      <sz val="10"/>
    </font>
    <font>
      <name val="Microsoft YaHei"/>
      <charset val="134"/>
      <family val="2"/>
      <color rgb="FF333333"/>
      <sz val="10"/>
    </font>
    <font>
      <name val="Microsoft YaHei"/>
      <charset val="134"/>
      <family val="2"/>
      <color rgb="FF0000FF"/>
      <sz val="11"/>
    </font>
    <font>
      <name val="Microsoft YaHei"/>
      <charset val="134"/>
      <family val="2"/>
      <color rgb="FF008000"/>
      <sz val="11"/>
    </font>
    <font>
      <name val="Microsoft YaHei"/>
      <charset val="134"/>
      <family val="2"/>
      <b val="1"/>
      <color rgb="FF1F4E79"/>
      <sz val="12"/>
    </font>
    <font>
      <name val="Microsoft YaHei"/>
      <charset val="134"/>
      <family val="2"/>
      <color rgb="FF000000"/>
      <sz val="11"/>
    </font>
    <font>
      <name val="宋体"/>
      <charset val="134"/>
      <family val="3"/>
      <sz val="9"/>
      <scheme val="minor"/>
    </font>
  </fonts>
  <fills count="11">
    <fill>
      <patternFill/>
    </fill>
    <fill>
      <patternFill patternType="gray125"/>
    </fill>
    <fill>
      <patternFill patternType="solid">
        <fgColor rgb="FF1F4E79"/>
      </patternFill>
    </fill>
    <fill>
      <patternFill patternType="solid">
        <fgColor rgb="FFFCE4D6"/>
      </patternFill>
    </fill>
    <fill>
      <patternFill patternType="solid">
        <fgColor rgb="FF2E75B6"/>
      </patternFill>
    </fill>
    <fill>
      <patternFill patternType="solid">
        <fgColor rgb="FFD6E3F0"/>
      </patternFill>
    </fill>
    <fill>
      <patternFill patternType="solid">
        <fgColor rgb="FFFFFFFF"/>
      </patternFill>
    </fill>
    <fill>
      <patternFill patternType="solid">
        <fgColor rgb="FFF2F2F2"/>
      </patternFill>
    </fill>
    <fill>
      <patternFill patternType="solid">
        <fgColor rgb="FFFFF2CC"/>
      </patternFill>
    </fill>
    <fill>
      <patternFill patternType="solid">
        <fgColor rgb="FFE2EFDA"/>
      </patternFill>
    </fill>
    <fill>
      <patternFill patternType="solid">
        <fgColor rgb="FFF8CBAD"/>
      </patternFill>
    </fill>
  </fills>
  <borders count="11">
    <border>
      <left/>
      <right/>
      <top/>
      <bottom/>
      <diagonal/>
    </border>
    <border>
      <left style="thin">
        <color rgb="FFBDD7EE"/>
      </left>
      <right style="thin">
        <color rgb="FFBDD7EE"/>
      </right>
      <top style="thin">
        <color rgb="FFBDD7EE"/>
      </top>
      <bottom style="thin">
        <color rgb="FFBDD7EE"/>
      </bottom>
      <diagonal/>
    </border>
    <border>
      <left/>
      <right/>
      <top style="thin">
        <color rgb="FFBDD7EE"/>
      </top>
      <bottom style="thin">
        <color rgb="FFBDD7EE"/>
      </bottom>
      <diagonal/>
    </border>
    <border>
      <left/>
      <right style="thin">
        <color rgb="FFBDD7EE"/>
      </right>
      <top style="thin">
        <color rgb="FFBDD7EE"/>
      </top>
      <bottom style="thin">
        <color rgb="FFBDD7EE"/>
      </bottom>
      <diagonal/>
    </border>
    <border>
      <left/>
      <right/>
      <top style="thin">
        <color rgb="FFBDD7EE"/>
      </top>
      <bottom/>
      <diagonal/>
    </border>
    <border>
      <left/>
      <right style="thin">
        <color rgb="FFBDD7EE"/>
      </right>
      <top style="thin">
        <color rgb="FFBDD7EE"/>
      </top>
      <bottom/>
      <diagonal/>
    </border>
    <border>
      <left style="thin">
        <color rgb="FFBDD7EE"/>
      </left>
      <right/>
      <top/>
      <bottom/>
      <diagonal/>
    </border>
    <border>
      <left/>
      <right style="thin">
        <color rgb="FFBDD7EE"/>
      </right>
      <top/>
      <bottom/>
      <diagonal/>
    </border>
    <border>
      <left style="thin">
        <color rgb="FFBDD7EE"/>
      </left>
      <right/>
      <top/>
      <bottom style="thin">
        <color rgb="FFBDD7EE"/>
      </bottom>
      <diagonal/>
    </border>
    <border>
      <left/>
      <right/>
      <top/>
      <bottom style="thin">
        <color rgb="FFBDD7EE"/>
      </bottom>
      <diagonal/>
    </border>
    <border>
      <left/>
      <right style="thin">
        <color rgb="FFBDD7EE"/>
      </right>
      <top/>
      <bottom style="thin">
        <color rgb="FFBDD7EE"/>
      </bottom>
      <diagonal/>
    </border>
  </borders>
  <cellStyleXfs count="1">
    <xf numFmtId="0" fontId="0" fillId="0" borderId="0"/>
  </cellStyleXfs>
  <cellXfs count="89">
    <xf numFmtId="0" fontId="0" fillId="0" borderId="0" pivotButton="0" quotePrefix="0" xfId="0"/>
    <xf numFmtId="0" fontId="4" fillId="2"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6" fillId="6" borderId="1" applyAlignment="1" pivotButton="0" quotePrefix="0" xfId="0">
      <alignment horizontal="left" vertical="center" wrapText="1"/>
    </xf>
    <xf numFmtId="0" fontId="6" fillId="7" borderId="1" applyAlignment="1" pivotButton="0" quotePrefix="0" xfId="0">
      <alignment horizontal="left" vertical="center" wrapText="1"/>
    </xf>
    <xf numFmtId="0" fontId="6"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5" borderId="1" applyAlignment="1" pivotButton="0" quotePrefix="0" xfId="0">
      <alignment horizontal="center" vertical="center" wrapText="1"/>
    </xf>
    <xf numFmtId="0" fontId="5" fillId="7" borderId="1" applyAlignment="1" pivotButton="0" quotePrefix="0" xfId="0">
      <alignment horizontal="left" vertical="center" wrapText="1"/>
    </xf>
    <xf numFmtId="0" fontId="7" fillId="8" borderId="1" applyAlignment="1" pivotButton="0" quotePrefix="0" xfId="0">
      <alignment horizontal="center" vertical="center" wrapText="1"/>
    </xf>
    <xf numFmtId="0" fontId="2" fillId="5" borderId="1" applyAlignment="1" pivotButton="0" quotePrefix="0" xfId="0">
      <alignment horizontal="left" vertical="center" wrapText="1"/>
    </xf>
    <xf numFmtId="164" fontId="7" fillId="8" borderId="1" applyAlignment="1" pivotButton="0" quotePrefix="0" xfId="0">
      <alignment horizontal="center" vertical="center" wrapText="1"/>
    </xf>
    <xf numFmtId="0" fontId="7" fillId="8" borderId="1" applyAlignment="1" pivotButton="0" quotePrefix="0" xfId="0">
      <alignment horizontal="left" vertical="center" wrapText="1"/>
    </xf>
    <xf numFmtId="0" fontId="8" fillId="9" borderId="1" applyAlignment="1" pivotButton="0" quotePrefix="0" xfId="0">
      <alignment horizontal="center" vertical="center" wrapText="1"/>
    </xf>
    <xf numFmtId="1" fontId="8" fillId="9" borderId="1" applyAlignment="1" pivotButton="0" quotePrefix="0" xfId="0">
      <alignment horizontal="center" vertical="center" wrapText="1"/>
    </xf>
    <xf numFmtId="2" fontId="8" fillId="9" borderId="1" applyAlignment="1" pivotButton="0" quotePrefix="0" xfId="0">
      <alignment horizontal="center" vertical="center" wrapText="1"/>
    </xf>
    <xf numFmtId="164" fontId="8" fillId="9" borderId="1" applyAlignment="1" pivotButton="0" quotePrefix="0" xfId="0">
      <alignment horizontal="center" vertical="center" wrapText="1"/>
    </xf>
    <xf numFmtId="165" fontId="8" fillId="9" borderId="1" applyAlignment="1" pivotButton="0" quotePrefix="0" xfId="0">
      <alignment horizontal="center" vertical="center" wrapText="1"/>
    </xf>
    <xf numFmtId="166" fontId="8" fillId="9" borderId="1" applyAlignment="1" pivotButton="0" quotePrefix="0" xfId="0">
      <alignment horizontal="center" vertical="center" wrapText="1"/>
    </xf>
    <xf numFmtId="0" fontId="9" fillId="6" borderId="1" applyAlignment="1" pivotButton="0" quotePrefix="0" xfId="0">
      <alignment horizontal="left" vertical="center" wrapText="1"/>
    </xf>
    <xf numFmtId="0" fontId="2" fillId="9" borderId="1" applyAlignment="1" pivotButton="0" quotePrefix="0" xfId="0">
      <alignment horizontal="left" vertical="center" wrapText="1"/>
    </xf>
    <xf numFmtId="0" fontId="2" fillId="10" borderId="1" applyAlignment="1" pivotButton="0" quotePrefix="0" xfId="0">
      <alignment horizontal="left" vertical="center" wrapText="1"/>
    </xf>
    <xf numFmtId="1" fontId="10" fillId="9" borderId="1" applyAlignment="1" pivotButton="0" quotePrefix="0" xfId="0">
      <alignment horizontal="center" vertical="center" wrapText="1"/>
    </xf>
    <xf numFmtId="0" fontId="10" fillId="9" borderId="1" applyAlignment="1" pivotButton="0" quotePrefix="0" xfId="0">
      <alignment horizontal="center" vertical="center" wrapText="1"/>
    </xf>
    <xf numFmtId="49" fontId="7" fillId="8" borderId="1" applyAlignment="1" pivotButton="0" quotePrefix="0" xfId="0">
      <alignment horizontal="center" vertical="center" wrapText="1"/>
    </xf>
    <xf numFmtId="0" fontId="2" fillId="5" borderId="1" applyAlignment="1" pivotButton="0" quotePrefix="0" xfId="0">
      <alignment horizontal="center" vertical="center" wrapText="1"/>
    </xf>
    <xf numFmtId="165" fontId="10" fillId="9" borderId="1" applyAlignment="1" pivotButton="0" quotePrefix="0" xfId="0">
      <alignment horizontal="center" vertical="center" wrapText="1"/>
    </xf>
    <xf numFmtId="49" fontId="7" fillId="8" borderId="1" applyAlignment="1" pivotButton="0" quotePrefix="0" xfId="0">
      <alignment horizontal="left" vertical="center" wrapText="1"/>
    </xf>
    <xf numFmtId="165" fontId="7" fillId="8" borderId="1" applyAlignment="1" pivotButton="0" quotePrefix="0" xfId="0">
      <alignment horizontal="center" vertical="center" wrapText="1"/>
    </xf>
    <xf numFmtId="167" fontId="10" fillId="9" borderId="1" applyAlignment="1" pivotButton="0" quotePrefix="0" xfId="0">
      <alignment horizontal="center" vertical="center" wrapText="1"/>
    </xf>
    <xf numFmtId="164" fontId="10" fillId="9" borderId="1" applyAlignment="1" pivotButton="0" quotePrefix="0" xfId="0">
      <alignment horizontal="center" vertical="center" wrapText="1"/>
    </xf>
    <xf numFmtId="2" fontId="10" fillId="9" borderId="1" applyAlignment="1" pivotButton="0" quotePrefix="0" xfId="0">
      <alignment horizontal="center" vertical="center" wrapText="1"/>
    </xf>
    <xf numFmtId="168" fontId="10" fillId="9" borderId="1" applyAlignment="1" pivotButton="0" quotePrefix="0" xfId="0">
      <alignment horizontal="center" vertical="center" wrapText="1"/>
    </xf>
    <xf numFmtId="0" fontId="2" fillId="7" borderId="1" applyAlignment="1" pivotButton="0" quotePrefix="0" xfId="0">
      <alignment horizontal="left" vertical="center" wrapText="1"/>
    </xf>
    <xf numFmtId="2" fontId="7" fillId="8" borderId="1" applyAlignment="1" pivotButton="0" quotePrefix="0" xfId="0">
      <alignment horizontal="center" vertical="center" wrapText="1"/>
    </xf>
    <xf numFmtId="0" fontId="5" fillId="7" borderId="1" applyAlignment="1" pivotButton="0" quotePrefix="0" xfId="0">
      <alignment horizontal="center" vertical="center" wrapText="1"/>
    </xf>
    <xf numFmtId="169" fontId="7" fillId="8" borderId="1" applyAlignment="1" pivotButton="0" quotePrefix="0" xfId="0">
      <alignment horizontal="center" vertical="center" wrapText="1"/>
    </xf>
    <xf numFmtId="166" fontId="7" fillId="8" borderId="1" applyAlignment="1" pivotButton="0" quotePrefix="0" xfId="0">
      <alignment horizontal="center" vertical="center" wrapText="1"/>
    </xf>
    <xf numFmtId="10" fontId="7" fillId="8" borderId="1" applyAlignment="1" pivotButton="0" quotePrefix="0" xfId="0">
      <alignment horizontal="center" vertical="center" wrapText="1"/>
    </xf>
    <xf numFmtId="166" fontId="10" fillId="9" borderId="1" applyAlignment="1" pivotButton="0" quotePrefix="0" xfId="0">
      <alignment horizontal="center" vertical="center" wrapText="1"/>
    </xf>
    <xf numFmtId="0" fontId="7" fillId="8" borderId="1" applyAlignment="1" pivotButton="0" quotePrefix="0" xfId="0">
      <alignment horizontal="left" vertical="center" wrapText="1"/>
    </xf>
    <xf numFmtId="0" fontId="0" fillId="0" borderId="0" pivotButton="0" quotePrefix="0" xfId="0"/>
    <xf numFmtId="0" fontId="3" fillId="4" borderId="0" applyAlignment="1" pivotButton="0" quotePrefix="0" xfId="0">
      <alignment vertical="center" indent="1"/>
    </xf>
    <xf numFmtId="0" fontId="0" fillId="4" borderId="0" pivotButton="0" quotePrefix="0" xfId="0"/>
    <xf numFmtId="0" fontId="2" fillId="5" borderId="1" applyAlignment="1" pivotButton="0" quotePrefix="0" xfId="0">
      <alignment horizontal="left" vertical="center" wrapText="1"/>
    </xf>
    <xf numFmtId="0" fontId="0" fillId="0" borderId="2" pivotButton="0" quotePrefix="0" xfId="0"/>
    <xf numFmtId="0" fontId="0" fillId="0" borderId="3" pivotButton="0" quotePrefix="0" xfId="0"/>
    <xf numFmtId="0" fontId="7" fillId="8" borderId="1" applyAlignment="1" pivotButton="0" quotePrefix="0" xfId="0">
      <alignment horizontal="center" vertical="center" wrapText="1"/>
    </xf>
    <xf numFmtId="0" fontId="2" fillId="5" borderId="0" applyAlignment="1" pivotButton="0" quotePrefix="0" xfId="0">
      <alignment horizontal="left" vertical="center" wrapText="1"/>
    </xf>
    <xf numFmtId="0" fontId="0" fillId="5" borderId="0" applyAlignment="1" pivotButton="0" quotePrefix="0" xfId="0">
      <alignment horizontal="left" vertical="center" wrapText="1"/>
    </xf>
    <xf numFmtId="0" fontId="4" fillId="2" borderId="1" applyAlignment="1" pivotButton="0" quotePrefix="0" xfId="0">
      <alignment horizontal="center" vertical="center" wrapText="1"/>
    </xf>
    <xf numFmtId="164" fontId="7" fillId="8" borderId="1" applyAlignment="1" pivotButton="0" quotePrefix="0" xfId="0">
      <alignment horizontal="center" vertical="center" wrapText="1"/>
    </xf>
    <xf numFmtId="0" fontId="1" fillId="2" borderId="1" applyAlignment="1" pivotButton="0" quotePrefix="0" xfId="0">
      <alignment horizontal="left" vertical="center" indent="1"/>
    </xf>
    <xf numFmtId="0" fontId="0" fillId="2" borderId="1" pivotButton="0" quotePrefix="0" xfId="0"/>
    <xf numFmtId="0" fontId="6" fillId="6" borderId="1" applyAlignment="1" pivotButton="0" quotePrefix="0" xfId="0">
      <alignment horizontal="left" vertical="center" wrapText="1"/>
    </xf>
    <xf numFmtId="0" fontId="2" fillId="3" borderId="0" applyAlignment="1" pivotButton="0" quotePrefix="0" xfId="0">
      <alignment horizontal="left" vertical="center" wrapText="1"/>
    </xf>
    <xf numFmtId="0" fontId="0" fillId="3" borderId="0" applyAlignment="1" pivotButton="0" quotePrefix="0" xfId="0">
      <alignment horizontal="left" vertical="center" wrapText="1"/>
    </xf>
    <xf numFmtId="0" fontId="8" fillId="9" borderId="1" applyAlignment="1" pivotButton="0" quotePrefix="0" xfId="0">
      <alignment horizontal="center" vertical="center" wrapText="1"/>
    </xf>
    <xf numFmtId="0" fontId="0" fillId="8" borderId="1" pivotButton="0" quotePrefix="0" xfId="0"/>
    <xf numFmtId="0" fontId="2" fillId="10" borderId="1" applyAlignment="1" pivotButton="0" quotePrefix="0" xfId="0">
      <alignment horizontal="left" vertical="center" wrapText="1"/>
    </xf>
    <xf numFmtId="0" fontId="0" fillId="8" borderId="1" applyAlignment="1" pivotButton="0" quotePrefix="0" xfId="0">
      <alignment horizontal="left" vertical="center" wrapText="1"/>
    </xf>
    <xf numFmtId="0" fontId="6" fillId="7" borderId="1" applyAlignment="1" pivotButton="0" quotePrefix="0" xfId="0">
      <alignment horizontal="left" vertical="center" wrapText="1"/>
    </xf>
    <xf numFmtId="0" fontId="7" fillId="8" borderId="1" applyAlignment="1" pivotButton="0" quotePrefix="0" xfId="0">
      <alignment vertical="top" wrapText="1"/>
    </xf>
    <xf numFmtId="170" fontId="7" fillId="8" borderId="1" applyAlignment="1" pivotButton="0" quotePrefix="0" xfId="0">
      <alignment vertical="top" wrapText="1"/>
    </xf>
    <xf numFmtId="164" fontId="7" fillId="8" borderId="1" applyAlignment="1" pivotButton="0" quotePrefix="0" xfId="0">
      <alignment vertical="top" wrapText="1"/>
    </xf>
    <xf numFmtId="0" fontId="0" fillId="0" borderId="4" pivotButton="0" quotePrefix="0" xfId="0"/>
    <xf numFmtId="0" fontId="0" fillId="0" borderId="5" pivotButton="0" quotePrefix="0" xfId="0"/>
    <xf numFmtId="0" fontId="0" fillId="0" borderId="8" pivotButton="0" quotePrefix="0" xfId="0"/>
    <xf numFmtId="0" fontId="0" fillId="0" borderId="9" pivotButton="0" quotePrefix="0" xfId="0"/>
    <xf numFmtId="0" fontId="0" fillId="0" borderId="10" pivotButton="0" quotePrefix="0" xfId="0"/>
    <xf numFmtId="164" fontId="8" fillId="9" borderId="1" applyAlignment="1" pivotButton="0" quotePrefix="0" xfId="0">
      <alignment horizontal="center" vertical="center" wrapText="1"/>
    </xf>
    <xf numFmtId="165" fontId="8" fillId="9" borderId="1" applyAlignment="1" pivotButton="0" quotePrefix="0" xfId="0">
      <alignment horizontal="center" vertical="center" wrapText="1"/>
    </xf>
    <xf numFmtId="166" fontId="8" fillId="9" borderId="1" applyAlignment="1" pivotButton="0" quotePrefix="0" xfId="0">
      <alignment horizontal="center" vertical="center" wrapText="1"/>
    </xf>
    <xf numFmtId="0" fontId="0" fillId="0" borderId="6" pivotButton="0" quotePrefix="0" xfId="0"/>
    <xf numFmtId="0" fontId="0" fillId="0" borderId="7" pivotButton="0" quotePrefix="0" xfId="0"/>
    <xf numFmtId="49" fontId="7" fillId="8" borderId="1" applyAlignment="1" pivotButton="0" quotePrefix="0" xfId="0">
      <alignment vertical="top" wrapText="1"/>
    </xf>
    <xf numFmtId="164" fontId="7" fillId="8" borderId="1" applyAlignment="1" pivotButton="0" quotePrefix="0" xfId="0">
      <alignment horizontal="center" vertical="center" wrapText="1"/>
    </xf>
    <xf numFmtId="165" fontId="10" fillId="9" borderId="1" applyAlignment="1" pivotButton="0" quotePrefix="0" xfId="0">
      <alignment horizontal="center" vertical="center" wrapText="1"/>
    </xf>
    <xf numFmtId="165" fontId="7" fillId="8" borderId="1" applyAlignment="1" pivotButton="0" quotePrefix="0" xfId="0">
      <alignment horizontal="center" vertical="center" wrapText="1"/>
    </xf>
    <xf numFmtId="165" fontId="7" fillId="8" borderId="1" applyAlignment="1" pivotButton="0" quotePrefix="0" xfId="0">
      <alignment vertical="top" wrapText="1"/>
    </xf>
    <xf numFmtId="167" fontId="10" fillId="9" borderId="1" applyAlignment="1" pivotButton="0" quotePrefix="0" xfId="0">
      <alignment horizontal="center" vertical="center" wrapText="1"/>
    </xf>
    <xf numFmtId="164" fontId="10" fillId="9" borderId="1" applyAlignment="1" pivotButton="0" quotePrefix="0" xfId="0">
      <alignment horizontal="center" vertical="center" wrapText="1"/>
    </xf>
    <xf numFmtId="168" fontId="10" fillId="9" borderId="1" applyAlignment="1" pivotButton="0" quotePrefix="0" xfId="0">
      <alignment horizontal="center" vertical="center" wrapText="1"/>
    </xf>
    <xf numFmtId="2" fontId="7" fillId="8" borderId="1" applyAlignment="1" pivotButton="0" quotePrefix="0" xfId="0">
      <alignment vertical="top" wrapText="1"/>
    </xf>
    <xf numFmtId="169" fontId="7" fillId="8" borderId="1" applyAlignment="1" pivotButton="0" quotePrefix="0" xfId="0">
      <alignment vertical="top" wrapText="1"/>
    </xf>
    <xf numFmtId="166" fontId="7" fillId="8" borderId="1" applyAlignment="1" pivotButton="0" quotePrefix="0" xfId="0">
      <alignment vertical="top" wrapText="1"/>
    </xf>
    <xf numFmtId="10" fontId="7" fillId="8" borderId="1" applyAlignment="1" pivotButton="0" quotePrefix="0" xfId="0">
      <alignment vertical="top" wrapText="1"/>
    </xf>
    <xf numFmtId="166" fontId="10" fillId="9" borderId="1" applyAlignment="1" pivotButton="0" quotePrefix="0" xfId="0">
      <alignment horizontal="center" vertical="center"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模板</author>
  </authors>
  <commentList>
    <comment ref="B5" authorId="0" shapeId="0">
      <text>
        <t>港股带后缀，如 0992.HK；A 股 6 位代码；美股代码。</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808080"/>
    <outlinePr summaryBelow="1" summaryRight="1"/>
    <pageSetUpPr fitToPage="1"/>
  </sheetPr>
  <dimension ref="A1:F28"/>
  <sheetViews>
    <sheetView showGridLines="0" workbookViewId="0">
      <pane ySplit="1" topLeftCell="A2" activePane="bottomLeft" state="frozen"/>
      <selection pane="bottomLeft" activeCell="A1" sqref="A1"/>
    </sheetView>
  </sheetViews>
  <sheetFormatPr baseColWidth="8" defaultRowHeight="13.5"/>
  <cols>
    <col width="18" customWidth="1" style="42" min="1" max="1"/>
    <col width="28" customWidth="1" style="42" min="2" max="2"/>
    <col width="36" customWidth="1" style="42" min="3" max="4"/>
    <col width="28" customWidth="1" style="42" min="5" max="5"/>
    <col width="22" customWidth="1" style="42" min="6" max="6"/>
  </cols>
  <sheetData>
    <row r="1" ht="28.05" customHeight="1" s="42">
      <c r="A1" s="53" t="inlineStr">
        <is>
          <t>个股分析工具箱  ·  固定模板（Windows 可直接打开）</t>
        </is>
      </c>
      <c r="B1" s="46" t="n"/>
      <c r="C1" s="46" t="n"/>
      <c r="D1" s="46" t="n"/>
      <c r="E1" s="46" t="n"/>
      <c r="F1" s="47" t="n"/>
    </row>
    <row r="2" ht="36" customHeight="1" s="42">
      <c r="A2" s="56" t="inlineStr">
        <is>
          <t>用法：复制本文件并改名为「代码-日期.xlsx」，只改黄色格子（蓝字）。黑字/绿底是公式，绿字引用其他表。不要在母版上填数。打开后若公式显示 0，按 F9 或启用编辑。仅供研究，不构成投资建议。</t>
        </is>
      </c>
    </row>
    <row r="4" ht="22.05" customHeight="1" s="42">
      <c r="A4" s="43" t="inlineStr">
        <is>
          <t>每次怎么用（不用安装、不用联网配置）</t>
        </is>
      </c>
    </row>
    <row r="5" ht="22.05" customHeight="1" s="42">
      <c r="A5" s="51" t="inlineStr">
        <is>
          <t>步</t>
        </is>
      </c>
      <c r="B5" s="51" t="inlineStr">
        <is>
          <t>动作</t>
        </is>
      </c>
      <c r="C5" s="51" t="inlineStr">
        <is>
          <t>说明</t>
        </is>
      </c>
      <c r="D5" s="46" t="n"/>
      <c r="E5" s="46" t="n"/>
      <c r="F5" s="47" t="n"/>
    </row>
    <row r="6" ht="40.05" customHeight="1" s="42">
      <c r="A6" s="2" t="inlineStr">
        <is>
          <t>1</t>
        </is>
      </c>
      <c r="B6" s="3" t="inlineStr">
        <is>
          <t>复制本文件</t>
        </is>
      </c>
      <c r="C6" s="55" t="inlineStr">
        <is>
          <t>在 Windows 上用 Excel 或 WPS 打开。每分析一只股票，先复制一份，改成例如 0992.HK-20260826.xlsx。</t>
        </is>
      </c>
      <c r="D6" s="46" t="n"/>
      <c r="E6" s="46" t="n"/>
      <c r="F6" s="47" t="n"/>
    </row>
    <row r="7" ht="40.05" customHeight="1" s="42">
      <c r="A7" s="2" t="inlineStr">
        <is>
          <t>2</t>
        </is>
      </c>
      <c r="B7" s="3" t="inlineStr">
        <is>
          <t>只填封面</t>
        </is>
      </c>
      <c r="C7" s="55" t="inlineStr">
        <is>
          <t>在「封面」填代码、市场、现价、一句话论点。其余表会自动带上代码。</t>
        </is>
      </c>
      <c r="D7" s="46" t="n"/>
      <c r="E7" s="46" t="n"/>
      <c r="F7" s="47" t="n"/>
    </row>
    <row r="8" ht="40.05" customHeight="1" s="42">
      <c r="A8" s="2" t="inlineStr">
        <is>
          <t>3</t>
        </is>
      </c>
      <c r="B8" s="3" t="inlineStr">
        <is>
          <t>按顺序往右填</t>
        </is>
      </c>
      <c r="C8" s="55" t="inlineStr">
        <is>
          <t>初筛 → 财务 → 评分 → 估值 → 情绪 → 风险 → 备忘录。初筛不过关就停，不要建模型。</t>
        </is>
      </c>
      <c r="D8" s="46" t="n"/>
      <c r="E8" s="46" t="n"/>
      <c r="F8" s="47" t="n"/>
    </row>
    <row r="9" ht="40.05" customHeight="1" s="42">
      <c r="A9" s="2" t="inlineStr">
        <is>
          <t>4</t>
        </is>
      </c>
      <c r="B9" s="3" t="inlineStr">
        <is>
          <t>看封面结论</t>
        </is>
      </c>
      <c r="C9" s="55" t="inlineStr">
        <is>
          <t>封面会汇总：初筛闸门、F/Z/M 分数、估值区间、建议仓位。备忘录用于写成文。</t>
        </is>
      </c>
      <c r="D9" s="46" t="n"/>
      <c r="E9" s="46" t="n"/>
      <c r="F9" s="47" t="n"/>
    </row>
    <row r="11" ht="22.05" customHeight="1" s="42">
      <c r="A11" s="43" t="inlineStr">
        <is>
          <t>四层分析顺序（不要打乱）</t>
        </is>
      </c>
    </row>
    <row r="12" ht="22.05" customHeight="1" s="42">
      <c r="A12" s="51" t="inlineStr">
        <is>
          <t>层</t>
        </is>
      </c>
      <c r="B12" s="51" t="inlineStr">
        <is>
          <t>要回答的问题</t>
        </is>
      </c>
      <c r="C12" s="51" t="inlineStr">
        <is>
          <t>产出</t>
        </is>
      </c>
      <c r="D12" s="51" t="inlineStr">
        <is>
          <t>停手条件</t>
        </is>
      </c>
      <c r="E12" s="51" t="inlineStr">
        <is>
          <t>大约耗时</t>
        </is>
      </c>
      <c r="F12" s="51" t="inlineStr">
        <is>
          <t>对应工作表</t>
        </is>
      </c>
    </row>
    <row r="13" ht="42" customHeight="1" s="42">
      <c r="A13" s="55" t="inlineStr">
        <is>
          <t>1 初筛</t>
        </is>
      </c>
      <c r="B13" s="55" t="inlineStr">
        <is>
          <t>这家公司靠什么赚钱？两句话能否说清？</t>
        </is>
      </c>
      <c r="C13" s="55" t="inlineStr">
        <is>
          <t>通过 / 排除 / 待完成</t>
        </is>
      </c>
      <c r="D13" s="55" t="inlineStr">
        <is>
          <t>说不清模式，或经营现金流连续为负</t>
        </is>
      </c>
      <c r="E13" s="55" t="inlineStr">
        <is>
          <t>15 分钟</t>
        </is>
      </c>
      <c r="F13" s="55" t="inlineStr">
        <is>
          <t>初筛</t>
        </is>
      </c>
    </row>
    <row r="14" ht="42" customHeight="1" s="42">
      <c r="A14" s="62" t="inlineStr">
        <is>
          <t>2 基本面</t>
        </is>
      </c>
      <c r="B14" s="62" t="inlineStr">
        <is>
          <t>增长有没有现金？护城河有没有回报率？</t>
        </is>
      </c>
      <c r="C14" s="62" t="inlineStr">
        <is>
          <t>质量评级 + 估值区间</t>
        </is>
      </c>
      <c r="D14" s="62" t="inlineStr">
        <is>
          <t>关键数字对不上年报</t>
        </is>
      </c>
      <c r="E14" s="62" t="inlineStr">
        <is>
          <t>1–2 小时</t>
        </is>
      </c>
      <c r="F14" s="62" t="inlineStr">
        <is>
          <t>财务 / 评分 / 估值</t>
        </is>
      </c>
    </row>
    <row r="15" ht="42" customHeight="1" s="42">
      <c r="A15" s="55" t="inlineStr">
        <is>
          <t>3 情绪</t>
        </is>
      </c>
      <c r="B15" s="55" t="inlineStr">
        <is>
          <t>现价已经定价了什么？拥挤还是冷清？</t>
        </is>
      </c>
      <c r="C15" s="55" t="inlineStr">
        <is>
          <t>预期差方向</t>
        </is>
      </c>
      <c r="D15" s="55" t="inlineStr">
        <is>
          <t>只有热度没有分歧点</t>
        </is>
      </c>
      <c r="E15" s="55" t="inlineStr">
        <is>
          <t>30–60 分钟</t>
        </is>
      </c>
      <c r="F15" s="55" t="inlineStr">
        <is>
          <t>情绪</t>
        </is>
      </c>
    </row>
    <row r="16" ht="42" customHeight="1" s="42">
      <c r="A16" s="62" t="inlineStr">
        <is>
          <t>4 风险</t>
        </is>
      </c>
      <c r="B16" s="62" t="inlineStr">
        <is>
          <t>什么信号出现就认错？亏多少能睡得着？</t>
        </is>
      </c>
      <c r="C16" s="62" t="inlineStr">
        <is>
          <t>证伪条件 + 仓位上限</t>
        </is>
      </c>
      <c r="D16" s="62" t="inlineStr">
        <is>
          <t>找不到可观察的证伪条件</t>
        </is>
      </c>
      <c r="E16" s="62" t="inlineStr">
        <is>
          <t>20–40 分钟</t>
        </is>
      </c>
      <c r="F16" s="62" t="inlineStr">
        <is>
          <t>风险 / 备忘录</t>
        </is>
      </c>
    </row>
    <row r="18" ht="22.05" customHeight="1" s="42">
      <c r="A18" s="43" t="inlineStr">
        <is>
          <t>格子颜色</t>
        </is>
      </c>
    </row>
    <row r="19" ht="22.05" customHeight="1" s="42">
      <c r="A19" s="51" t="inlineStr">
        <is>
          <t>颜色</t>
        </is>
      </c>
      <c r="B19" s="51" t="inlineStr">
        <is>
          <t>含义</t>
        </is>
      </c>
      <c r="C19" s="51" t="inlineStr">
        <is>
          <t>你要做什么</t>
        </is>
      </c>
      <c r="D19" s="46" t="n"/>
      <c r="E19" s="46" t="n"/>
      <c r="F19" s="47" t="n"/>
    </row>
    <row r="20" ht="14.65" customHeight="1" s="42">
      <c r="A20" s="6" t="n"/>
      <c r="B20" s="3" t="inlineStr">
        <is>
          <t>黄底蓝字</t>
        </is>
      </c>
      <c r="C20" s="55" t="inlineStr">
        <is>
          <t>输入：价格、财务数字、是/否、情景假设、文字判断</t>
        </is>
      </c>
      <c r="D20" s="46" t="n"/>
      <c r="E20" s="46" t="n"/>
      <c r="F20" s="47" t="n"/>
    </row>
    <row r="21" ht="14.65" customHeight="1" s="42">
      <c r="A21" s="7" t="n"/>
      <c r="B21" s="3" t="inlineStr">
        <is>
          <t>绿底黑/绿字</t>
        </is>
      </c>
      <c r="C21" s="55" t="inlineStr">
        <is>
          <t>公式或跨表引用：不要改。改输入后这里会变。</t>
        </is>
      </c>
      <c r="D21" s="46" t="n"/>
      <c r="E21" s="46" t="n"/>
      <c r="F21" s="47" t="n"/>
    </row>
    <row r="22" ht="14.65" customHeight="1" s="42">
      <c r="A22" s="8" t="n"/>
      <c r="B22" s="3" t="inlineStr">
        <is>
          <t>浅蓝底</t>
        </is>
      </c>
      <c r="C22" s="55" t="inlineStr">
        <is>
          <t>说明和提示，不用填。</t>
        </is>
      </c>
      <c r="D22" s="46" t="n"/>
      <c r="E22" s="46" t="n"/>
      <c r="F22" s="47" t="n"/>
    </row>
    <row r="24" ht="22.05" customHeight="1" s="42">
      <c r="A24" s="43" t="inlineStr">
        <is>
          <t>原则</t>
        </is>
      </c>
    </row>
    <row r="25" ht="32" customHeight="1" s="42">
      <c r="A25" s="55" t="inlineStr">
        <is>
          <t>· 先质量、再估值、再读预期差、最后用风险定仓位。不要把基本面、情绪、技术面合成一个分数。</t>
        </is>
      </c>
      <c r="B25" s="46" t="n"/>
      <c r="C25" s="46" t="n"/>
      <c r="D25" s="46" t="n"/>
      <c r="E25" s="46" t="n"/>
      <c r="F25" s="47" t="n"/>
    </row>
    <row r="26" ht="32" customHeight="1" s="42">
      <c r="A26" s="55" t="inlineStr">
        <is>
          <t>· 事实带来源（年报页码、交易所公告、数据商），判断写假设。结论必须可证伪。</t>
        </is>
      </c>
      <c r="B26" s="46" t="n"/>
      <c r="C26" s="46" t="n"/>
      <c r="D26" s="46" t="n"/>
      <c r="E26" s="46" t="n"/>
      <c r="F26" s="47" t="n"/>
    </row>
    <row r="27" ht="32" customHeight="1" s="42">
      <c r="A27" s="55" t="inlineStr">
        <is>
          <t>· 估值给 Bull / Base / Bear 区间，不给神预测。情绪只修正时机和仓位，不单独产生买点。</t>
        </is>
      </c>
      <c r="B27" s="46" t="n"/>
      <c r="C27" s="46" t="n"/>
      <c r="D27" s="46" t="n"/>
      <c r="E27" s="46" t="n"/>
      <c r="F27" s="47" t="n"/>
    </row>
    <row r="28" ht="32" customHeight="1" s="42">
      <c r="A28" s="55" t="inlineStr">
        <is>
          <t>· 仓位由波动和流动性决定，不由信念强度决定。初筛排除的票，后面表可以不填。</t>
        </is>
      </c>
      <c r="B28" s="46" t="n"/>
      <c r="C28" s="46" t="n"/>
      <c r="D28" s="46" t="n"/>
      <c r="E28" s="46" t="n"/>
      <c r="F28" s="47" t="n"/>
    </row>
  </sheetData>
  <mergeCells count="19">
    <mergeCell ref="C8:F8"/>
    <mergeCell ref="A27:F27"/>
    <mergeCell ref="C7:F7"/>
    <mergeCell ref="A18:F18"/>
    <mergeCell ref="A26:F26"/>
    <mergeCell ref="C19:F19"/>
    <mergeCell ref="A2:F2"/>
    <mergeCell ref="C6:F6"/>
    <mergeCell ref="A4:F4"/>
    <mergeCell ref="C5:F5"/>
    <mergeCell ref="A28:F28"/>
    <mergeCell ref="C20:F20"/>
    <mergeCell ref="C22:F22"/>
    <mergeCell ref="A24:F24"/>
    <mergeCell ref="C9:F9"/>
    <mergeCell ref="A11:F11"/>
    <mergeCell ref="A1:F1"/>
    <mergeCell ref="C21:F21"/>
    <mergeCell ref="A25:F25"/>
  </mergeCells>
  <printOptions horizontalCentered="1"/>
  <pageMargins left="0.5" right="0.5" top="0.6" bottom="0.6" header="0.5" footer="0.5"/>
  <pageSetup orientation="portrait" paperSize="9" fitToHeight="0"/>
</worksheet>
</file>

<file path=xl/worksheets/sheet2.xml><?xml version="1.0" encoding="utf-8"?>
<worksheet xmlns="http://schemas.openxmlformats.org/spreadsheetml/2006/main">
  <sheetPr>
    <tabColor rgb="FF1F4E79"/>
    <outlinePr summaryBelow="1" summaryRight="1"/>
    <pageSetUpPr fitToPage="1"/>
  </sheetPr>
  <dimension ref="A1:F37"/>
  <sheetViews>
    <sheetView showGridLines="0" tabSelected="1" workbookViewId="0">
      <pane ySplit="1" topLeftCell="A2" activePane="bottomLeft" state="frozen"/>
      <selection pane="bottomLeft" activeCell="A1" sqref="A1:F1"/>
    </sheetView>
  </sheetViews>
  <sheetFormatPr baseColWidth="8" defaultRowHeight="13.5"/>
  <cols>
    <col width="20" customWidth="1" style="42" min="1" max="1"/>
    <col width="16" customWidth="1" style="42" min="2" max="2"/>
    <col width="28" customWidth="1" style="42" min="3" max="3"/>
    <col width="16" customWidth="1" style="42" min="4" max="4"/>
    <col width="22" customWidth="1" style="42" min="5" max="5"/>
    <col width="28" customWidth="1" style="42" min="6" max="6"/>
  </cols>
  <sheetData>
    <row r="1" ht="28.05" customHeight="1" s="42">
      <c r="A1" s="53" t="inlineStr">
        <is>
          <t>封面结论  ·  每只股票从这里开始</t>
        </is>
      </c>
      <c r="B1" s="46" t="n"/>
      <c r="C1" s="46" t="n"/>
      <c r="D1" s="46" t="n"/>
      <c r="E1" s="46" t="n"/>
      <c r="F1" s="47" t="n"/>
    </row>
    <row r="2" ht="36" customHeight="1" s="42">
      <c r="A2" s="49" t="inlineStr">
        <is>
          <t>黄色格子必填。下面「自动汇总」会从其他表取数，请先填初筛/评分/估值/风险。决策三分法允许三者不一致。</t>
        </is>
      </c>
    </row>
    <row r="4" ht="22.05" customHeight="1" s="42">
      <c r="A4" s="43" t="inlineStr">
        <is>
          <t>标的</t>
        </is>
      </c>
    </row>
    <row r="5" ht="22.05" customHeight="1" s="42">
      <c r="A5" s="9" t="inlineStr">
        <is>
          <t>股票代码</t>
        </is>
      </c>
      <c r="B5" s="63" t="inlineStr">
        <is>
          <t>AMD</t>
        </is>
      </c>
      <c r="C5" s="47" t="n"/>
      <c r="D5" s="45" t="inlineStr">
        <is>
          <t>例如 0992.HK / 600519 / NVDA</t>
        </is>
      </c>
      <c r="E5" s="46" t="n"/>
      <c r="F5" s="47" t="n"/>
    </row>
    <row r="6" ht="22.05" customHeight="1" s="42">
      <c r="A6" s="9" t="inlineStr">
        <is>
          <t>公司名称</t>
        </is>
      </c>
      <c r="B6" s="63" t="inlineStr">
        <is>
          <t>AMD</t>
        </is>
      </c>
      <c r="C6" s="47" t="n"/>
      <c r="D6" s="45" t="n"/>
      <c r="E6" s="46" t="n"/>
      <c r="F6" s="47" t="n"/>
    </row>
    <row r="7" ht="22.05" customHeight="1" s="42">
      <c r="A7" s="9" t="inlineStr">
        <is>
          <t>市场</t>
        </is>
      </c>
      <c r="B7" s="63" t="inlineStr">
        <is>
          <t>美股</t>
        </is>
      </c>
      <c r="C7" s="47" t="n"/>
      <c r="D7" s="45" t="inlineStr">
        <is>
          <t>A股 / 港股 / 美股</t>
        </is>
      </c>
      <c r="E7" s="46" t="n"/>
      <c r="F7" s="47" t="n"/>
    </row>
    <row r="8" ht="22.05" customHeight="1" s="42">
      <c r="A8" s="9" t="inlineStr">
        <is>
          <t>分析日期</t>
        </is>
      </c>
      <c r="B8" s="64" t="n">
        <v>46294</v>
      </c>
      <c r="C8" s="47" t="n"/>
      <c r="D8" s="45" t="inlineStr">
        <is>
          <t>YYYY-MM-DD</t>
        </is>
      </c>
      <c r="E8" s="46" t="n"/>
      <c r="F8" s="47" t="n"/>
    </row>
    <row r="9" ht="22.05" customHeight="1" s="42">
      <c r="A9" s="9" t="inlineStr">
        <is>
          <t>现价</t>
        </is>
      </c>
      <c r="B9" s="65" t="n">
        <v>607.87</v>
      </c>
      <c r="C9" s="47" t="n"/>
      <c r="D9" s="45" t="inlineStr">
        <is>
          <t>用交易货币</t>
        </is>
      </c>
      <c r="E9" s="46" t="n"/>
      <c r="F9" s="47" t="n"/>
    </row>
    <row r="10" ht="22.05" customHeight="1" s="42">
      <c r="A10" s="9" t="inlineStr">
        <is>
          <t>货币</t>
        </is>
      </c>
      <c r="B10" s="63" t="inlineStr">
        <is>
          <t>USD</t>
        </is>
      </c>
      <c r="C10" s="47" t="n"/>
      <c r="D10" s="45" t="inlineStr">
        <is>
          <t>CNY / HKD / USD</t>
        </is>
      </c>
      <c r="E10" s="46" t="n"/>
      <c r="F10" s="47" t="n"/>
    </row>
    <row r="11" ht="22.05" customHeight="1" s="42">
      <c r="A11" s="9" t="inlineStr">
        <is>
          <t>行业</t>
        </is>
      </c>
      <c r="B11" s="63" t="inlineStr">
        <is>
          <t>半导体</t>
        </is>
      </c>
      <c r="C11" s="47" t="n"/>
      <c r="D11" s="45" t="n"/>
      <c r="E11" s="46" t="n"/>
      <c r="F11" s="47" t="n"/>
    </row>
    <row r="12" ht="22.05" customHeight="1" s="42">
      <c r="A12" s="9" t="inlineStr">
        <is>
          <t>报告期</t>
        </is>
      </c>
      <c r="B12" s="63" t="inlineStr">
        <is>
          <t>FY2025，财年截至2025-12-27</t>
        </is>
      </c>
      <c r="C12" s="47" t="n"/>
      <c r="D12" s="45" t="inlineStr">
        <is>
          <t>例如 FY2025 或 2026H1</t>
        </is>
      </c>
      <c r="E12" s="46" t="n"/>
      <c r="F12" s="47" t="n"/>
    </row>
    <row r="13" ht="22.05" customHeight="1" s="42">
      <c r="A13" s="9" t="inlineStr">
        <is>
          <t>一句话投资论点</t>
        </is>
      </c>
      <c r="B13" s="63" t="inlineStr">
        <is>
          <t>数据中心和客户端把2025年收入做到346.39亿美元且经营现金流为正，但9月28日收盘607.87美元对应的概率加权价只有334.70美元，82亿美元全股票收购还没有股数和订单。</t>
        </is>
      </c>
      <c r="C13" s="66" t="n"/>
      <c r="D13" s="66" t="n"/>
      <c r="E13" s="66" t="n"/>
      <c r="F13" s="67" t="n"/>
    </row>
    <row r="14" ht="36" customHeight="1" s="42">
      <c r="B14" s="68" t="n"/>
      <c r="C14" s="69" t="n"/>
      <c r="D14" s="69" t="n"/>
      <c r="E14" s="69" t="n"/>
      <c r="F14" s="70" t="n"/>
    </row>
    <row r="16" ht="22.05" customHeight="1" s="42">
      <c r="A16" s="43" t="inlineStr">
        <is>
          <t>决策三分法（人工判断，允许不一致）</t>
        </is>
      </c>
    </row>
    <row r="17" ht="15" customHeight="1" s="42">
      <c r="A17" s="9" t="inlineStr">
        <is>
          <t>内在价值</t>
        </is>
      </c>
      <c r="B17" s="63" t="inlineStr">
        <is>
          <t>贵</t>
        </is>
      </c>
      <c r="C17" s="47" t="n"/>
      <c r="D17" s="45" t="inlineStr">
        <is>
          <t>便宜 / 合理 / 贵</t>
        </is>
      </c>
      <c r="E17" s="46" t="n"/>
      <c r="F17" s="47" t="n"/>
    </row>
    <row r="18" ht="15" customHeight="1" s="42">
      <c r="A18" s="9" t="inlineStr">
        <is>
          <t>近 1–3 月方向</t>
        </is>
      </c>
      <c r="B18" s="63" t="inlineStr">
        <is>
          <t>偏多</t>
        </is>
      </c>
      <c r="C18" s="47" t="n"/>
      <c r="D18" s="45" t="inlineStr">
        <is>
          <t>偏多 / 中性 / 偏空</t>
        </is>
      </c>
      <c r="E18" s="46" t="n"/>
      <c r="F18" s="47" t="n"/>
    </row>
    <row r="19" ht="15" customHeight="1" s="42">
      <c r="A19" s="9" t="inlineStr">
        <is>
          <t>投资动作</t>
        </is>
      </c>
      <c r="B19" s="63" t="inlineStr">
        <is>
          <t>等待</t>
        </is>
      </c>
      <c r="C19" s="47" t="n"/>
      <c r="D19" s="45" t="inlineStr">
        <is>
          <t>买入 / 等待 / 减仓 / 观察 / 排除</t>
        </is>
      </c>
      <c r="E19" s="46" t="n"/>
      <c r="F19" s="47" t="n"/>
    </row>
    <row r="20" ht="15" customHeight="1" s="42">
      <c r="A20" s="9" t="inlineStr">
        <is>
          <t>财报可信度</t>
        </is>
      </c>
      <c r="B20" s="63" t="inlineStr">
        <is>
          <t>A</t>
        </is>
      </c>
      <c r="C20" s="47" t="n"/>
      <c r="D20" s="45" t="inlineStr">
        <is>
          <t>A / B / C / D</t>
        </is>
      </c>
      <c r="E20" s="46" t="n"/>
      <c r="F20" s="47" t="n"/>
    </row>
    <row r="21" ht="15" customHeight="1" s="42">
      <c r="A21" s="9" t="inlineStr">
        <is>
          <t>研究置信度</t>
        </is>
      </c>
      <c r="B21" s="63" t="inlineStr">
        <is>
          <t>中</t>
        </is>
      </c>
      <c r="C21" s="47" t="n"/>
      <c r="D21" s="45" t="inlineStr">
        <is>
          <t>高 / 中 / 低</t>
        </is>
      </c>
      <c r="E21" s="46" t="n"/>
      <c r="F21" s="47" t="n"/>
    </row>
    <row r="22" ht="15" customHeight="1" s="42">
      <c r="A22" s="9" t="inlineStr">
        <is>
          <t>最大风险（一条）</t>
        </is>
      </c>
      <c r="B22" s="63" t="inlineStr">
        <is>
          <t>把没有发行股数、没有点名订单的82亿美元全股票协议，写成已经提高的每股收益。</t>
        </is>
      </c>
      <c r="C22" s="47" t="n"/>
      <c r="D22" s="45" t="inlineStr">
        <is>
          <t>会推翻论点的那一条</t>
        </is>
      </c>
      <c r="E22" s="46" t="n"/>
      <c r="F22" s="47" t="n"/>
    </row>
    <row r="24" ht="22.05" customHeight="1" s="42">
      <c r="A24" s="43" t="inlineStr">
        <is>
          <t>自动汇总（不要改公式）</t>
        </is>
      </c>
    </row>
    <row r="25" ht="22.05" customHeight="1" s="42">
      <c r="A25" s="51" t="inlineStr">
        <is>
          <t>项目</t>
        </is>
      </c>
      <c r="B25" s="51" t="inlineStr">
        <is>
          <t>结果</t>
        </is>
      </c>
      <c r="C25" s="51" t="inlineStr">
        <is>
          <t>读法</t>
        </is>
      </c>
      <c r="D25" s="46" t="n"/>
      <c r="E25" s="46" t="n"/>
      <c r="F25" s="47" t="n"/>
    </row>
    <row r="26" ht="22.05" customHeight="1" s="42">
      <c r="A26" s="9" t="inlineStr">
        <is>
          <t>初筛闸门</t>
        </is>
      </c>
      <c r="B26" s="58">
        <f>初筛!B12</f>
        <v/>
      </c>
      <c r="C26" s="45" t="inlineStr">
        <is>
          <t>通过才继续；排除则停。</t>
        </is>
      </c>
      <c r="D26" s="46" t="n"/>
      <c r="E26" s="46" t="n"/>
      <c r="F26" s="47" t="n"/>
    </row>
    <row r="27" ht="22.05" customHeight="1" s="42">
      <c r="A27" s="9" t="inlineStr">
        <is>
          <t>初筛通过项</t>
        </is>
      </c>
      <c r="B27" s="15">
        <f>初筛!B11</f>
        <v/>
      </c>
      <c r="C27" s="45" t="inlineStr">
        <is>
          <t>5 项里有几项为「是」。</t>
        </is>
      </c>
      <c r="D27" s="46" t="n"/>
      <c r="E27" s="46" t="n"/>
      <c r="F27" s="47" t="n"/>
    </row>
    <row r="28" ht="22.05" customHeight="1" s="42">
      <c r="A28" s="9" t="inlineStr">
        <is>
          <t>Piotroski F</t>
        </is>
      </c>
      <c r="B28" s="15">
        <f>评分!B65</f>
        <v/>
      </c>
      <c r="C28" s="45" t="inlineStr">
        <is>
          <t>8–9 强，0–3 弱。不判断贵贱。</t>
        </is>
      </c>
      <c r="D28" s="46" t="n"/>
      <c r="E28" s="46" t="n"/>
      <c r="F28" s="47" t="n"/>
    </row>
    <row r="29" ht="22.05" customHeight="1" s="42">
      <c r="A29" s="9" t="inlineStr">
        <is>
          <t>Altman Z</t>
        </is>
      </c>
      <c r="B29" s="16">
        <f>评分!B66</f>
        <v/>
      </c>
      <c r="C29" s="45" t="inlineStr">
        <is>
          <t>&gt;2.99 较安全，&lt;1.81 困境区。金融股勿套。</t>
        </is>
      </c>
      <c r="D29" s="46" t="n"/>
      <c r="E29" s="46" t="n"/>
      <c r="F29" s="47" t="n"/>
    </row>
    <row r="30" ht="22.05" customHeight="1" s="42">
      <c r="A30" s="9" t="inlineStr">
        <is>
          <t>Beneish M</t>
        </is>
      </c>
      <c r="B30" s="16">
        <f>评分!B67</f>
        <v/>
      </c>
      <c r="C30" s="45" t="inlineStr">
        <is>
          <t>M &gt; -1.78 需警惕盈余操纵。</t>
        </is>
      </c>
      <c r="D30" s="46" t="n"/>
      <c r="E30" s="46" t="n"/>
      <c r="F30" s="47" t="n"/>
    </row>
    <row r="31" ht="22.05" customHeight="1" s="42">
      <c r="A31" s="9" t="inlineStr">
        <is>
          <t>Base 隐含价</t>
        </is>
      </c>
      <c r="B31" s="71">
        <f>估值!C28</f>
        <v/>
      </c>
      <c r="C31" s="45" t="inlineStr">
        <is>
          <t>基准情景价格。</t>
        </is>
      </c>
      <c r="D31" s="46" t="n"/>
      <c r="E31" s="46" t="n"/>
      <c r="F31" s="47" t="n"/>
    </row>
    <row r="32" ht="22.05" customHeight="1" s="42">
      <c r="A32" s="9" t="inlineStr">
        <is>
          <t>估值区间</t>
        </is>
      </c>
      <c r="B32" s="58">
        <f>估值!C31</f>
        <v/>
      </c>
      <c r="C32" s="45" t="inlineStr">
        <is>
          <t>Bear ~ Bull。</t>
        </is>
      </c>
      <c r="D32" s="46" t="n"/>
      <c r="E32" s="46" t="n"/>
      <c r="F32" s="47" t="n"/>
    </row>
    <row r="33" ht="22.05" customHeight="1" s="42">
      <c r="A33" s="9" t="inlineStr">
        <is>
          <t>期望价 vs 现价</t>
        </is>
      </c>
      <c r="B33" s="72">
        <f>估值!C30</f>
        <v/>
      </c>
      <c r="C33" s="45" t="inlineStr">
        <is>
          <t>正数=模型比现价高。</t>
        </is>
      </c>
      <c r="D33" s="46" t="n"/>
      <c r="E33" s="46" t="n"/>
      <c r="F33" s="47" t="n"/>
    </row>
    <row r="34" ht="22.05" customHeight="1" s="42">
      <c r="A34" s="9" t="inlineStr">
        <is>
          <t>建议仓位上限</t>
        </is>
      </c>
      <c r="B34" s="72">
        <f>风险!C16</f>
        <v/>
      </c>
      <c r="C34" s="45" t="inlineStr">
        <is>
          <t>占组合权益比例。</t>
        </is>
      </c>
      <c r="D34" s="46" t="n"/>
      <c r="E34" s="46" t="n"/>
      <c r="F34" s="47" t="n"/>
    </row>
    <row r="35" ht="22.05" customHeight="1" s="42">
      <c r="A35" s="9" t="inlineStr">
        <is>
          <t>建议金额</t>
        </is>
      </c>
      <c r="B35" s="73">
        <f>风险!C15</f>
        <v/>
      </c>
      <c r="C35" s="45" t="inlineStr">
        <is>
          <t>再与流动性上限取小。</t>
        </is>
      </c>
      <c r="D35" s="46" t="n"/>
      <c r="E35" s="46" t="n"/>
      <c r="F35" s="47" t="n"/>
    </row>
    <row r="37" ht="16.9" customHeight="1" s="42">
      <c r="A37" s="20" t="inlineStr">
        <is>
          <t>填写进度</t>
        </is>
      </c>
      <c r="B37" s="58">
        <f>COUNTA(B5:B12)+COUNTA(B17:B22)&amp;" 项已填"</f>
        <v/>
      </c>
      <c r="C37" s="45" t="inlineStr">
        <is>
          <t>本模板不抓行情。现价、财务请自己从年报 / 交易所 / 数据终端填入。</t>
        </is>
      </c>
      <c r="D37" s="46" t="n"/>
      <c r="E37" s="46" t="n"/>
      <c r="F37" s="47" t="n"/>
    </row>
  </sheetData>
  <mergeCells count="46">
    <mergeCell ref="B13:F14"/>
    <mergeCell ref="A16:F16"/>
    <mergeCell ref="D11:F11"/>
    <mergeCell ref="B7:C7"/>
    <mergeCell ref="B22:C22"/>
    <mergeCell ref="D17:F17"/>
    <mergeCell ref="C32:F32"/>
    <mergeCell ref="D7:F7"/>
    <mergeCell ref="B18:C18"/>
    <mergeCell ref="C37:F37"/>
    <mergeCell ref="C28:F28"/>
    <mergeCell ref="B12:C12"/>
    <mergeCell ref="D21:F21"/>
    <mergeCell ref="A2:F2"/>
    <mergeCell ref="B21:C21"/>
    <mergeCell ref="B11:C11"/>
    <mergeCell ref="C34:F34"/>
    <mergeCell ref="D12:F12"/>
    <mergeCell ref="D18:F18"/>
    <mergeCell ref="C30:F30"/>
    <mergeCell ref="D9:F9"/>
    <mergeCell ref="C33:F33"/>
    <mergeCell ref="A4:F4"/>
    <mergeCell ref="B17:C17"/>
    <mergeCell ref="D8:F8"/>
    <mergeCell ref="B8:C8"/>
    <mergeCell ref="D5:F5"/>
    <mergeCell ref="C35:F35"/>
    <mergeCell ref="B19:C19"/>
    <mergeCell ref="C26:F26"/>
    <mergeCell ref="B10:C10"/>
    <mergeCell ref="C29:F29"/>
    <mergeCell ref="C25:F25"/>
    <mergeCell ref="B9:C9"/>
    <mergeCell ref="D20:F20"/>
    <mergeCell ref="D10:F10"/>
    <mergeCell ref="A24:F24"/>
    <mergeCell ref="B6:C6"/>
    <mergeCell ref="D19:F19"/>
    <mergeCell ref="C31:F31"/>
    <mergeCell ref="B5:C5"/>
    <mergeCell ref="A1:F1"/>
    <mergeCell ref="B20:C20"/>
    <mergeCell ref="D22:F22"/>
    <mergeCell ref="C27:F27"/>
    <mergeCell ref="D6:F6"/>
  </mergeCells>
  <dataValidations count="7">
    <dataValidation sqref="B7" showDropDown="0" showInputMessage="0" showErrorMessage="0" allowBlank="1" errorTitle="无效输入" error="请从下拉列表选择" promptTitle="填写" prompt="从列表选择" type="list">
      <formula1>"A股,港股,美股"</formula1>
    </dataValidation>
    <dataValidation sqref="B10" showDropDown="0" showInputMessage="0" showErrorMessage="0" allowBlank="1" errorTitle="无效输入" error="请从下拉列表选择" promptTitle="填写" prompt="从列表选择" type="list">
      <formula1>"CNY,HKD,USD"</formula1>
    </dataValidation>
    <dataValidation sqref="B17" showDropDown="0" showInputMessage="0" showErrorMessage="0" allowBlank="1" errorTitle="无效输入" error="请从下拉列表选择" promptTitle="填写" prompt="从列表选择" type="list">
      <formula1>"便宜,合理,贵"</formula1>
    </dataValidation>
    <dataValidation sqref="B18" showDropDown="0" showInputMessage="0" showErrorMessage="0" allowBlank="1" errorTitle="无效输入" error="请从下拉列表选择" promptTitle="填写" prompt="从列表选择" type="list">
      <formula1>"偏多,中性,偏空"</formula1>
    </dataValidation>
    <dataValidation sqref="B19" showDropDown="0" showInputMessage="0" showErrorMessage="0" allowBlank="1" errorTitle="无效输入" error="请从下拉列表选择" promptTitle="填写" prompt="从列表选择" type="list">
      <formula1>"买入,等待,减仓,观察,排除"</formula1>
    </dataValidation>
    <dataValidation sqref="B20" showDropDown="0" showInputMessage="0" showErrorMessage="0" allowBlank="1" errorTitle="无效输入" error="请从下拉列表选择" promptTitle="填写" prompt="从列表选择" type="list">
      <formula1>"A,B,C,D"</formula1>
    </dataValidation>
    <dataValidation sqref="B21" showDropDown="0" showInputMessage="0" showErrorMessage="0" allowBlank="1" errorTitle="无效输入" error="请从下拉列表选择" promptTitle="填写" prompt="从列表选择" type="list">
      <formula1>"高,中,低"</formula1>
    </dataValidation>
  </dataValidations>
  <printOptions horizontalCentered="1"/>
  <pageMargins left="0.5" right="0.5" top="0.6" bottom="0.6" header="0.5" footer="0.5"/>
  <pageSetup orientation="portrait" paperSize="9" fitToHeight="0"/>
  <legacyDrawing xmlns:r="http://schemas.openxmlformats.org/officeDocument/2006/relationships" r:id="anysvml"/>
</worksheet>
</file>

<file path=xl/worksheets/sheet3.xml><?xml version="1.0" encoding="utf-8"?>
<worksheet xmlns="http://schemas.openxmlformats.org/spreadsheetml/2006/main">
  <sheetPr>
    <tabColor rgb="FFC65911"/>
    <outlinePr summaryBelow="1" summaryRight="1"/>
    <pageSetUpPr fitToPage="1"/>
  </sheetPr>
  <dimension ref="A1:F17"/>
  <sheetViews>
    <sheetView showGridLines="0" workbookViewId="0">
      <pane ySplit="1" topLeftCell="A2" activePane="bottomLeft" state="frozen"/>
      <selection pane="bottomLeft" activeCell="A1" sqref="A1"/>
    </sheetView>
  </sheetViews>
  <sheetFormatPr baseColWidth="8" defaultRowHeight="13.5"/>
  <cols>
    <col width="8" customWidth="1" style="42" min="1" max="1"/>
    <col width="52" customWidth="1" style="42" min="2" max="2"/>
    <col width="14" customWidth="1" style="42" min="3" max="3"/>
    <col width="42" customWidth="1" style="42" min="4" max="4"/>
    <col width="22" customWidth="1" style="42" min="5" max="6"/>
  </cols>
  <sheetData>
    <row r="1" ht="28.05" customHeight="1" s="42">
      <c r="A1" s="53" t="inlineStr">
        <is>
          <t>15 分钟初筛  ·  过不了就停</t>
        </is>
      </c>
      <c r="B1" s="46" t="n"/>
      <c r="C1" s="46" t="n"/>
      <c r="D1" s="46" t="n"/>
      <c r="E1" s="46" t="n"/>
      <c r="F1" s="47" t="n"/>
    </row>
    <row r="2">
      <c r="A2" s="58">
        <f>"标的："&amp;IF(封面!B5="","（先填封面代码）",封面!B5&amp;"  "&amp;封面!B6)</f>
        <v/>
      </c>
      <c r="B2" s="46" t="n"/>
      <c r="C2" s="46" t="n"/>
      <c r="D2" s="46" t="n"/>
      <c r="E2" s="46" t="n"/>
      <c r="F2" s="47" t="n"/>
    </row>
    <row r="3" ht="36" customHeight="1" s="42">
      <c r="A3" s="49" t="inlineStr">
        <is>
          <t>只回答能不能研究，不回答贵不贵。任一项为「否」→ 排除。五项皆「是」→ 通过。有「待查」→ 先去补材料。</t>
        </is>
      </c>
    </row>
    <row r="5" ht="22.05" customHeight="1" s="42">
      <c r="A5" s="51" t="inlineStr">
        <is>
          <t>#</t>
        </is>
      </c>
      <c r="B5" s="51" t="inlineStr">
        <is>
          <t>检查项</t>
        </is>
      </c>
      <c r="C5" s="51" t="inlineStr">
        <is>
          <t>结论</t>
        </is>
      </c>
      <c r="D5" s="51" t="inlineStr">
        <is>
          <t>备注（来源/页码）</t>
        </is>
      </c>
      <c r="E5" s="51" t="inlineStr">
        <is>
          <t>健康信号</t>
        </is>
      </c>
      <c r="F5" s="51" t="inlineStr">
        <is>
          <t>危险信号</t>
        </is>
      </c>
    </row>
    <row r="6" ht="36" customHeight="1" s="42">
      <c r="A6" s="2" t="inlineStr">
        <is>
          <t>1</t>
        </is>
      </c>
      <c r="B6" s="55" t="inlineStr">
        <is>
          <t>商业模式：能用两句话讲清客户、收费方式、成本从哪来</t>
        </is>
      </c>
      <c r="C6" s="63" t="inlineStr">
        <is>
          <t>是</t>
        </is>
      </c>
      <c r="D6" s="63" t="inlineStr">
        <is>
          <t>卖数据中心CPU和GPU、客户端与游戏芯片，以及嵌入式芯片。2025年收入346.39亿美元，其中数据中心166亿美元、客户端与游戏146亿美元、嵌入式35亿美元。营业成本含在毛利171.52亿美元里。来源：AMD 2026-02-03全年业绩稿；SEC 10-K财年截至2025-12-27的分部收入。</t>
        </is>
      </c>
      <c r="E6" s="21" t="inlineStr">
        <is>
          <t>模式一句话说清</t>
        </is>
      </c>
      <c r="F6" s="60" t="inlineStr">
        <is>
          <t>说不清怎么赚钱</t>
        </is>
      </c>
    </row>
    <row r="7" ht="36" customHeight="1" s="42">
      <c r="A7" s="2" t="inlineStr">
        <is>
          <t>2</t>
        </is>
      </c>
      <c r="B7" s="55" t="inlineStr">
        <is>
          <t>大股东/实控人：是经营公司，还是把公司当融资工具</t>
        </is>
      </c>
      <c r="C7" s="63" t="inlineStr">
        <is>
          <t>是</t>
        </is>
      </c>
      <c r="D7" s="63" t="inlineStr">
        <is>
          <t>股权分散的经营公司，苏姿丰任首席执行官。2025年回购普通股19.23亿美元，不是把上市公司当成融资通道。World Labs协议是公司作为买方的全股票收购，交割尚未完成。来源：2026-02-03业绩稿现金流量表中的回购；今日要闻对收购身份的区分。</t>
        </is>
      </c>
      <c r="E7" s="21" t="inlineStr">
        <is>
          <t>利益与小股东同向</t>
        </is>
      </c>
      <c r="F7" s="60" t="inlineStr">
        <is>
          <t>频繁定增、占用、担保</t>
        </is>
      </c>
    </row>
    <row r="8" ht="36" customHeight="1" s="42">
      <c r="A8" s="2" t="inlineStr">
        <is>
          <t>3</t>
        </is>
      </c>
      <c r="B8" s="55" t="inlineStr">
        <is>
          <t>最近完整年度经营现金流为正，且与净利润方向一致</t>
        </is>
      </c>
      <c r="C8" s="63" t="inlineStr">
        <is>
          <t>是</t>
        </is>
      </c>
      <c r="D8" s="63" t="inlineStr">
        <is>
          <t>是。2025年持续经营经营现金流64.93亿美元，净利润43.35亿美元，都为正，现金更高。业绩稿另列含终止经营的经营现金流77.09亿美元。方向一致。来源：AMD 2026-02-03业绩稿。</t>
        </is>
      </c>
      <c r="E8" s="21" t="inlineStr">
        <is>
          <t>OCF&gt;0 且与利润同向</t>
        </is>
      </c>
      <c r="F8" s="60" t="inlineStr">
        <is>
          <t>利润涨、现金持续为负</t>
        </is>
      </c>
    </row>
    <row r="9" ht="36" customHeight="1" s="42">
      <c r="A9" s="2" t="inlineStr">
        <is>
          <t>4</t>
        </is>
      </c>
      <c r="B9" s="55" t="inlineStr">
        <is>
          <t>有息负债、短债、财务费用在可承受范围</t>
        </is>
      </c>
      <c r="C9" s="63" t="inlineStr">
        <is>
          <t>是</t>
        </is>
      </c>
      <c r="D9" s="63" t="inlineStr">
        <is>
          <t>是。2025年末现金、现金等价物及短期投资105.52亿美元，总债务32.22亿美元，现金高于有息债务。利息费用1.31亿美元，GAAP营业利润36.94亿美元，利息没有吃掉利润。来源：2026-02-03业绩稿。</t>
        </is>
      </c>
      <c r="E9" s="21" t="inlineStr">
        <is>
          <t>短债有现金或稳定现金流覆盖</t>
        </is>
      </c>
      <c r="F9" s="60" t="inlineStr">
        <is>
          <t>短债滚续、利息吃掉利润</t>
        </is>
      </c>
    </row>
    <row r="10" ht="36" customHeight="1" s="42">
      <c r="A10" s="2" t="inlineStr">
        <is>
          <t>5</t>
        </is>
      </c>
      <c r="B10" s="55" t="inlineStr">
        <is>
          <t>扣除非经常性损益后，主业利润还站得住</t>
        </is>
      </c>
      <c r="C10" s="63" t="inlineStr">
        <is>
          <t>是</t>
        </is>
      </c>
      <c r="D10" s="63" t="inlineStr">
        <is>
          <t>是。美国报表没有A股扣非。GAAP营业利润36.94亿美元，GAAP净利润43.35亿美元。非GAAP净利润68.31亿美元更高，利润不是靠把费用加回才由负转正。来源：2026-02-03业绩稿。</t>
        </is>
      </c>
      <c r="E10" s="21" t="inlineStr">
        <is>
          <t>扣非后主业仍赚钱</t>
        </is>
      </c>
      <c r="F10" s="60" t="inlineStr">
        <is>
          <t>靠补贴、公允价值、一次性项目</t>
        </is>
      </c>
    </row>
    <row r="11" ht="15" customHeight="1" s="42">
      <c r="A11" s="9" t="inlineStr">
        <is>
          <t>通过项数</t>
        </is>
      </c>
      <c r="B11" s="23">
        <f>COUNTIF(C6:C10,"是")</f>
        <v/>
      </c>
      <c r="C11" s="58">
        <f>COUNTIF(C6:C10,"是")&amp;" / 5"</f>
        <v/>
      </c>
      <c r="D11" s="46" t="n"/>
      <c r="E11" s="46" t="n"/>
      <c r="F11" s="47" t="n"/>
    </row>
    <row r="12" ht="15" customHeight="1" s="42">
      <c r="A12" s="9" t="inlineStr">
        <is>
          <t>闸门结论</t>
        </is>
      </c>
      <c r="B12" s="24">
        <f>IF(COUNTIF(C6:C10,"否")&gt;0,"排除",IF(COUNTIF(C6:C10,"是")=5,"通过","待完成"))</f>
        <v/>
      </c>
      <c r="C12" s="45" t="inlineStr">
        <is>
          <t>排除：停止建模。通过：进入财务表。待完成：先补年报/公告。</t>
        </is>
      </c>
      <c r="D12" s="46" t="n"/>
      <c r="E12" s="46" t="n"/>
      <c r="F12" s="47" t="n"/>
    </row>
    <row r="14" ht="22.05" customHeight="1" s="42">
      <c r="A14" s="43" t="inlineStr">
        <is>
          <t>若通过，用一句话写下商业模式（给备忘录用）</t>
        </is>
      </c>
    </row>
    <row r="15" ht="22.05" customHeight="1" s="42">
      <c r="A15" s="63" t="inlineStr">
        <is>
          <t>向云厂商、电脑品牌和游戏主机卖CPU、GPU和嵌入式芯片，按芯片出货确认收入。2025年收入346.39亿美元，GAAP净利润43.35亿美元。</t>
        </is>
      </c>
      <c r="B15" s="66" t="n"/>
      <c r="C15" s="66" t="n"/>
      <c r="D15" s="66" t="n"/>
      <c r="E15" s="66" t="n"/>
      <c r="F15" s="67" t="n"/>
    </row>
    <row r="16" ht="22.05" customHeight="1" s="42">
      <c r="A16" s="74" t="n"/>
      <c r="F16" s="75" t="n"/>
    </row>
    <row r="17" ht="22.05" customHeight="1" s="42">
      <c r="A17" s="68" t="n"/>
      <c r="B17" s="69" t="n"/>
      <c r="C17" s="69" t="n"/>
      <c r="D17" s="69" t="n"/>
      <c r="E17" s="69" t="n"/>
      <c r="F17" s="70" t="n"/>
    </row>
  </sheetData>
  <mergeCells count="7">
    <mergeCell ref="A2:F2"/>
    <mergeCell ref="A15:F17"/>
    <mergeCell ref="A14:F14"/>
    <mergeCell ref="A1:F1"/>
    <mergeCell ref="C12:F12"/>
    <mergeCell ref="C11:F11"/>
    <mergeCell ref="A3:F3"/>
  </mergeCells>
  <dataValidations count="1">
    <dataValidation sqref="C6:C10" showDropDown="0" showInputMessage="0" showErrorMessage="0" allowBlank="1" errorTitle="无效输入" error="请从下拉列表选择" promptTitle="填写" prompt="从列表选择" type="list">
      <formula1>"是,否,待查"</formula1>
    </dataValidation>
  </dataValidations>
  <printOptions horizontalCentered="1"/>
  <pageMargins left="0.5" right="0.5" top="0.6" bottom="0.6" header="0.5" footer="0.5"/>
  <pageSetup orientation="portrait" paperSize="9" fitToHeight="0"/>
</worksheet>
</file>

<file path=xl/worksheets/sheet4.xml><?xml version="1.0" encoding="utf-8"?>
<worksheet xmlns="http://schemas.openxmlformats.org/spreadsheetml/2006/main">
  <sheetPr>
    <tabColor rgb="FF548235"/>
    <outlinePr summaryBelow="1" summaryRight="1"/>
    <pageSetUpPr fitToPage="1"/>
  </sheetPr>
  <dimension ref="A1:I33"/>
  <sheetViews>
    <sheetView showGridLines="0" workbookViewId="0">
      <pane ySplit="1" topLeftCell="A2" activePane="bottomLeft" state="frozen"/>
      <selection pane="bottomLeft" activeCell="A1" sqref="A1"/>
    </sheetView>
  </sheetViews>
  <sheetFormatPr baseColWidth="8" defaultRowHeight="13.5"/>
  <cols>
    <col width="18" customWidth="1" style="42" min="1" max="1"/>
    <col width="16" customWidth="1" style="42" min="2" max="2"/>
    <col width="14" customWidth="1" style="42" min="3" max="7"/>
    <col width="16" customWidth="1" style="42" min="8" max="8"/>
    <col width="28" customWidth="1" style="42" min="9" max="9"/>
  </cols>
  <sheetData>
    <row r="1" ht="28.05" customHeight="1" s="42">
      <c r="A1" s="53" t="inlineStr">
        <is>
          <t>财务质量  ·  先核对三表，再谈估值</t>
        </is>
      </c>
      <c r="B1" s="46" t="n"/>
      <c r="C1" s="46" t="n"/>
      <c r="D1" s="46" t="n"/>
      <c r="E1" s="46" t="n"/>
      <c r="F1" s="46" t="n"/>
      <c r="G1" s="46" t="n"/>
      <c r="H1" s="46" t="n"/>
      <c r="I1" s="47" t="n"/>
    </row>
    <row r="2">
      <c r="A2" s="58">
        <f>"标的："&amp;IF(封面!B5="","（先填封面）",封面!B5&amp;"  "&amp;封面!B6&amp;"  报告期 "&amp;封面!B12)</f>
        <v/>
      </c>
      <c r="B2" s="46" t="n"/>
      <c r="C2" s="46" t="n"/>
      <c r="D2" s="46" t="n"/>
      <c r="E2" s="46" t="n"/>
      <c r="F2" s="46" t="n"/>
      <c r="G2" s="46" t="n"/>
      <c r="H2" s="46" t="n"/>
      <c r="I2" s="47" t="n"/>
    </row>
    <row r="3" ht="36" customHeight="1" s="42">
      <c r="A3" s="49" t="inlineStr">
        <is>
          <t>黄格填年报数字（单位自定，全表保持一致，建议百万元）。绿格是同比或比率。至少填最近两年，才能驱动「评分」表。金融股部分比率不适用，在备注说明。</t>
        </is>
      </c>
    </row>
    <row r="5" ht="22.05" customHeight="1" s="42">
      <c r="A5" s="51" t="inlineStr">
        <is>
          <t>科目</t>
        </is>
      </c>
      <c r="B5" s="51" t="inlineStr">
        <is>
          <t>T-4</t>
        </is>
      </c>
      <c r="C5" s="51" t="inlineStr">
        <is>
          <t>T-3</t>
        </is>
      </c>
      <c r="D5" s="51" t="inlineStr">
        <is>
          <t>T-2</t>
        </is>
      </c>
      <c r="E5" s="51" t="inlineStr">
        <is>
          <t>T-1</t>
        </is>
      </c>
      <c r="F5" s="51" t="inlineStr">
        <is>
          <t>T（最新）</t>
        </is>
      </c>
      <c r="G5" s="51" t="inlineStr">
        <is>
          <t>T 同比</t>
        </is>
      </c>
      <c r="H5" s="51" t="inlineStr">
        <is>
          <t>现金转化/备注</t>
        </is>
      </c>
      <c r="I5" s="51" t="inlineStr">
        <is>
          <t>来源（年报页）</t>
        </is>
      </c>
    </row>
    <row r="6" ht="15" customHeight="1" s="42">
      <c r="A6" s="9" t="inlineStr">
        <is>
          <t>年份（文本）</t>
        </is>
      </c>
      <c r="B6" s="25" t="n"/>
      <c r="C6" s="76" t="inlineStr">
        <is>
          <t>2022</t>
        </is>
      </c>
      <c r="D6" s="76" t="inlineStr">
        <is>
          <t>2023</t>
        </is>
      </c>
      <c r="E6" s="76" t="inlineStr">
        <is>
          <t>2024</t>
        </is>
      </c>
      <c r="F6" s="76" t="inlineStr">
        <is>
          <t>2025</t>
        </is>
      </c>
      <c r="G6" s="26" t="inlineStr">
        <is>
          <t>勿填</t>
        </is>
      </c>
      <c r="H6" s="26" t="inlineStr">
        <is>
          <t>单位写这里 →</t>
        </is>
      </c>
      <c r="I6" s="63" t="inlineStr">
        <is>
          <t>百万美元</t>
        </is>
      </c>
    </row>
    <row r="7" ht="20" customHeight="1" s="42">
      <c r="A7" s="9" t="inlineStr">
        <is>
          <t>营业收入</t>
        </is>
      </c>
      <c r="B7" s="77" t="n"/>
      <c r="C7" s="65" t="n">
        <v>23601</v>
      </c>
      <c r="D7" s="65" t="n">
        <v>22680</v>
      </c>
      <c r="E7" s="65" t="n">
        <v>25785</v>
      </c>
      <c r="F7" s="65" t="n">
        <v>34639</v>
      </c>
      <c r="G7" s="78">
        <f>IF(OR(E7="",E7=0,F7=""),"",(F7-E7)/E7)</f>
        <v/>
      </c>
      <c r="H7" s="76" t="inlineStr">
        <is>
          <t>2024和2025收入与AMD 2026-02-03业绩稿一致。2023年与SEC比较报表226.80亿美元一致。2022年取雅虎。</t>
        </is>
      </c>
      <c r="I7" s="41" t="n"/>
    </row>
    <row r="8" ht="20" customHeight="1" s="42">
      <c r="A8" s="9" t="inlineStr">
        <is>
          <t>毛利</t>
        </is>
      </c>
      <c r="B8" s="77" t="n"/>
      <c r="C8" s="65" t="n">
        <v>10603</v>
      </c>
      <c r="D8" s="65" t="n">
        <v>10460</v>
      </c>
      <c r="E8" s="65" t="n">
        <v>12725</v>
      </c>
      <c r="F8" s="65" t="n">
        <v>17152</v>
      </c>
      <c r="G8" s="78">
        <f>IF(OR(E8="",E8=0,F8=""),"",(F8-E8)/E8)</f>
        <v/>
      </c>
      <c r="H8" s="76" t="inlineStr">
        <is>
          <t>2024和2025毛利与业绩稿一致。2022和2023取雅虎。</t>
        </is>
      </c>
      <c r="I8" s="41" t="n"/>
    </row>
    <row r="9" ht="20" customHeight="1" s="42">
      <c r="A9" s="9" t="inlineStr">
        <is>
          <t>毛利率</t>
        </is>
      </c>
      <c r="B9" s="79" t="n"/>
      <c r="C9" s="80" t="n">
        <v>0.4493</v>
      </c>
      <c r="D9" s="80" t="n">
        <v>0.4612</v>
      </c>
      <c r="E9" s="80" t="n">
        <v>0.4935</v>
      </c>
      <c r="F9" s="80" t="n">
        <v>0.4952</v>
      </c>
      <c r="G9" s="78">
        <f>IF(OR(E9="",F9=""),"",F9-E9)</f>
        <v/>
      </c>
      <c r="H9" s="78">
        <f>IF(OR(F7="",F7=0,F8=""),"",F8/F7)</f>
        <v/>
      </c>
      <c r="I9" s="63" t="inlineStr">
        <is>
          <t>毛利率是毛利除以收入，四舍五入到四位小数。业绩稿把2025年写成50%、2024年写成49%。</t>
        </is>
      </c>
    </row>
    <row r="10" ht="20" customHeight="1" s="42">
      <c r="A10" s="9" t="inlineStr">
        <is>
          <t>扣非净利润</t>
        </is>
      </c>
      <c r="B10" s="77" t="n"/>
      <c r="C10" s="65" t="n">
        <v>1320</v>
      </c>
      <c r="D10" s="65" t="n">
        <v>854</v>
      </c>
      <c r="E10" s="65" t="n">
        <v>1641</v>
      </c>
      <c r="F10" s="65" t="n">
        <v>4335</v>
      </c>
      <c r="G10" s="78">
        <f>IF(OR(E10="",E10=0,F10=""),"",(F10-E10)/E10)</f>
        <v/>
      </c>
      <c r="H10" s="76" t="inlineStr">
        <is>
          <t>美国报表没有扣非。这一行填GAAP净利润，不把非GAAP净利润68.31亿美元填进来。</t>
        </is>
      </c>
      <c r="I10" s="41" t="n"/>
    </row>
    <row r="11" ht="20" customHeight="1" s="42">
      <c r="A11" s="9" t="inlineStr">
        <is>
          <t>净利润</t>
        </is>
      </c>
      <c r="B11" s="77" t="n"/>
      <c r="C11" s="65" t="n">
        <v>1320</v>
      </c>
      <c r="D11" s="65" t="n">
        <v>854</v>
      </c>
      <c r="E11" s="65" t="n">
        <v>1641</v>
      </c>
      <c r="F11" s="65" t="n">
        <v>4335</v>
      </c>
      <c r="G11" s="78">
        <f>IF(OR(E11="",E11=0,F11=""),"",(F11-E11)/E11)</f>
        <v/>
      </c>
      <c r="H11" s="76" t="inlineStr">
        <is>
          <t>净利润用GAAP。2025年43.35亿美元含终止经营0.66亿美元。持续经营净利润42.69亿美元。</t>
        </is>
      </c>
      <c r="I11" s="41" t="n"/>
    </row>
    <row r="12" ht="20" customHeight="1" s="42">
      <c r="A12" s="9" t="inlineStr">
        <is>
          <t>经营现金流</t>
        </is>
      </c>
      <c r="B12" s="77" t="n"/>
      <c r="C12" s="65" t="n">
        <v>3565</v>
      </c>
      <c r="D12" s="65" t="n">
        <v>1667</v>
      </c>
      <c r="E12" s="65" t="n">
        <v>3041</v>
      </c>
      <c r="F12" s="65" t="n">
        <v>6493</v>
      </c>
      <c r="G12" s="78">
        <f>IF(OR(E12="",E12=0,F12=""),"",(F12-E12)/E12)</f>
        <v/>
      </c>
      <c r="H12" s="81">
        <f>IF(OR(F11="",F11=0,F12=""),"",F12/F11)</f>
        <v/>
      </c>
      <c r="I12" s="63" t="inlineStr">
        <is>
          <t>2024和2025用持续经营经营现金流，以便与公司自由现金流55.19亿、24.05亿对齐。业绩稿另有2025年含终止经营的经营现金流77.09亿美元。2022和2023取雅虎。</t>
        </is>
      </c>
    </row>
    <row r="13" ht="20" customHeight="1" s="42">
      <c r="A13" s="9" t="inlineStr">
        <is>
          <t>资本开支</t>
        </is>
      </c>
      <c r="B13" s="77" t="n"/>
      <c r="C13" s="65" t="n">
        <v>450</v>
      </c>
      <c r="D13" s="65" t="n">
        <v>546</v>
      </c>
      <c r="E13" s="65" t="n">
        <v>636</v>
      </c>
      <c r="F13" s="65" t="n">
        <v>974</v>
      </c>
      <c r="G13" s="78">
        <f>IF(OR(E13="",E13=0,F13=""),"",(F13-E13)/E13)</f>
        <v/>
      </c>
      <c r="H13" s="76" t="inlineStr">
        <is>
          <t>资本开支取正数。2025年9.74亿美元、2024年6.36亿美元来自业绩稿购建固定资产。</t>
        </is>
      </c>
      <c r="I13" s="41" t="n"/>
    </row>
    <row r="14" ht="20" customHeight="1" s="42">
      <c r="A14" s="9" t="inlineStr">
        <is>
          <t>自由现金流</t>
        </is>
      </c>
      <c r="B14" s="77" t="n"/>
      <c r="C14" s="65" t="n">
        <v>3115</v>
      </c>
      <c r="D14" s="65" t="n">
        <v>1121</v>
      </c>
      <c r="E14" s="65" t="n">
        <v>2405</v>
      </c>
      <c r="F14" s="65" t="n">
        <v>5519</v>
      </c>
      <c r="G14" s="78">
        <f>IF(OR(E14="",E14=0,F14=""),"",(F14-E14)/E14)</f>
        <v/>
      </c>
      <c r="H14" s="82">
        <f>IF(OR(F12="",F13=""),"",F12-F13)</f>
        <v/>
      </c>
      <c r="I14" s="63" t="inlineStr">
        <is>
          <t>自由现金流用公司定义：持续经营经营现金流减资本开支。2025年55.19亿美元。</t>
        </is>
      </c>
    </row>
    <row r="15" ht="20" customHeight="1" s="42">
      <c r="A15" s="9" t="inlineStr">
        <is>
          <t>ROE</t>
        </is>
      </c>
      <c r="B15" s="79" t="n"/>
      <c r="C15" s="80" t="n">
        <v>0.0241</v>
      </c>
      <c r="D15" s="80" t="n">
        <v>0.0153</v>
      </c>
      <c r="E15" s="80" t="n">
        <v>0.0285</v>
      </c>
      <c r="F15" s="80" t="n">
        <v>0.0688</v>
      </c>
      <c r="G15" s="78">
        <f>IF(OR(E15="",F15=""),"",F15-E15)</f>
        <v/>
      </c>
      <c r="H15" s="76" t="inlineStr">
        <is>
          <t>ROE等于GAAP净利润除以期末归母权益，自算，不是平均权益。权益取雅虎。</t>
        </is>
      </c>
      <c r="I15" s="41" t="n"/>
    </row>
    <row r="16" ht="20" customHeight="1" s="42">
      <c r="A16" s="9" t="inlineStr">
        <is>
          <t>ROIC</t>
        </is>
      </c>
      <c r="B16" s="79" t="n"/>
      <c r="C16" s="79" t="n"/>
      <c r="D16" s="79" t="n"/>
      <c r="E16" s="79" t="n"/>
      <c r="F16" s="80" t="n">
        <v>0.0558</v>
      </c>
      <c r="G16" s="78">
        <f>IF(OR(E16="",F16=""),"",F16-E16)</f>
        <v/>
      </c>
      <c r="H16" s="76" t="inlineStr">
        <is>
          <t>只算了2025年。营业利润36.94亿美元除以雅虎投入资本662.21亿美元，ROIC约0.0558。商誉251亿美元在分母里。没有单独估计WACC。</t>
        </is>
      </c>
      <c r="I16" s="41" t="n"/>
    </row>
    <row r="17" ht="20" customHeight="1" s="42">
      <c r="A17" s="9" t="inlineStr">
        <is>
          <t>总资产</t>
        </is>
      </c>
      <c r="B17" s="77" t="n"/>
      <c r="C17" s="65" t="n">
        <v>67580</v>
      </c>
      <c r="D17" s="65" t="n">
        <v>67885</v>
      </c>
      <c r="E17" s="65" t="n">
        <v>69226</v>
      </c>
      <c r="F17" s="65" t="n">
        <v>76926</v>
      </c>
      <c r="G17" s="78">
        <f>IF(OR(E17="",E17=0,F17=""),"",(F17-E17)/E17)</f>
        <v/>
      </c>
      <c r="H17" s="76" t="inlineStr">
        <is>
          <t>总资产取雅虎资产负债表。现金105.52亿美元与业绩稿一致，用来核对这套资产负债表。</t>
        </is>
      </c>
      <c r="I17" s="41" t="n"/>
    </row>
    <row r="18" ht="20" customHeight="1" s="42">
      <c r="A18" s="9" t="inlineStr">
        <is>
          <t>有息负债</t>
        </is>
      </c>
      <c r="B18" s="77" t="n"/>
      <c r="C18" s="65" t="n">
        <v>2863</v>
      </c>
      <c r="D18" s="65" t="n">
        <v>3003</v>
      </c>
      <c r="E18" s="65" t="n">
        <v>1721</v>
      </c>
      <c r="F18" s="65" t="n">
        <v>3222</v>
      </c>
      <c r="G18" s="78">
        <f>IF(OR(E18="",E18=0,F18=""),"",(F18-E18)/E18)</f>
        <v/>
      </c>
      <c r="H18" s="76" t="inlineStr">
        <is>
          <t>有息负债用业绩稿总债务，不含租赁。2025年32.22亿美元，2024年17.21亿美元。雅虎若把租赁算进去会更高。</t>
        </is>
      </c>
      <c r="I18" s="41" t="n"/>
    </row>
    <row r="19" ht="20" customHeight="1" s="42">
      <c r="A19" s="9" t="inlineStr">
        <is>
          <t>现金及等价物</t>
        </is>
      </c>
      <c r="B19" s="77" t="n"/>
      <c r="C19" s="65" t="n">
        <v>5855</v>
      </c>
      <c r="D19" s="65" t="n">
        <v>5773</v>
      </c>
      <c r="E19" s="65" t="n">
        <v>5132</v>
      </c>
      <c r="F19" s="65" t="n">
        <v>10552</v>
      </c>
      <c r="G19" s="78">
        <f>IF(OR(E19="",E19=0,F19=""),"",(F19-E19)/E19)</f>
        <v/>
      </c>
      <c r="H19" s="76" t="inlineStr">
        <is>
          <t>现金用现金、现金等价物及短期投资。2025年105.52亿美元，与业绩稿一致。</t>
        </is>
      </c>
      <c r="I19" s="41" t="n"/>
    </row>
    <row r="20" ht="20" customHeight="1" s="42">
      <c r="A20" s="9" t="inlineStr">
        <is>
          <t>净负债</t>
        </is>
      </c>
      <c r="B20" s="77" t="n"/>
      <c r="C20" s="65" t="n">
        <v>-2992</v>
      </c>
      <c r="D20" s="65" t="n">
        <v>-2770</v>
      </c>
      <c r="E20" s="65" t="n">
        <v>-3411</v>
      </c>
      <c r="F20" s="65" t="n">
        <v>-7330</v>
      </c>
      <c r="G20" s="78">
        <f>IF(OR(E20="",E20=0,F20=""),"",(F20-E20)/E20)</f>
        <v/>
      </c>
      <c r="H20" s="82">
        <f>IF(OR(F18="",F19=""),"",F18-F19)</f>
        <v/>
      </c>
      <c r="I20" s="41" t="n"/>
    </row>
    <row r="21" ht="20" customHeight="1" s="42">
      <c r="A21" s="9" t="inlineStr">
        <is>
          <t>商誉</t>
        </is>
      </c>
      <c r="B21" s="77" t="n"/>
      <c r="C21" s="65" t="n">
        <v>24177</v>
      </c>
      <c r="D21" s="65" t="n">
        <v>24262</v>
      </c>
      <c r="E21" s="65" t="n">
        <v>24839</v>
      </c>
      <c r="F21" s="65" t="n">
        <v>25126</v>
      </c>
      <c r="G21" s="78">
        <f>IF(OR(E21="",E21=0,F21=""),"",(F21-E21)/E21)</f>
        <v/>
      </c>
      <c r="H21" s="28" t="n"/>
      <c r="I21" s="63" t="inlineStr">
        <is>
          <t>商誉取雅虎。2025年251.26亿美元，主要来自此前的赛灵思交易，不是这笔World Labs。</t>
        </is>
      </c>
    </row>
    <row r="22" ht="20" customHeight="1" s="42">
      <c r="A22" s="9" t="inlineStr">
        <is>
          <t>应收账款</t>
        </is>
      </c>
      <c r="B22" s="77" t="n"/>
      <c r="C22" s="65" t="n">
        <v>4126</v>
      </c>
      <c r="D22" s="65" t="n">
        <v>4323</v>
      </c>
      <c r="E22" s="65" t="n">
        <v>6192</v>
      </c>
      <c r="F22" s="65" t="n">
        <v>6315</v>
      </c>
      <c r="G22" s="78">
        <f>IF(OR(E22="",E22=0,F22=""),"",(F22-E22)/E22)</f>
        <v/>
      </c>
      <c r="H22" s="28" t="n"/>
      <c r="I22" s="41" t="n"/>
    </row>
    <row r="23" ht="20" customHeight="1" s="42">
      <c r="A23" s="9" t="inlineStr">
        <is>
          <t>存货</t>
        </is>
      </c>
      <c r="B23" s="77" t="n"/>
      <c r="C23" s="65" t="n">
        <v>3771</v>
      </c>
      <c r="D23" s="65" t="n">
        <v>4351</v>
      </c>
      <c r="E23" s="65" t="n">
        <v>5734</v>
      </c>
      <c r="F23" s="65" t="n">
        <v>7920</v>
      </c>
      <c r="G23" s="78">
        <f>IF(OR(E23="",E23=0,F23=""),"",(F23-E23)/E23)</f>
        <v/>
      </c>
      <c r="H23" s="28" t="n"/>
      <c r="I23" s="41" t="n"/>
    </row>
    <row r="24" ht="20" customHeight="1" s="42">
      <c r="A24" s="9" t="inlineStr">
        <is>
          <t>股本（稀释后）</t>
        </is>
      </c>
      <c r="B24" s="77" t="n"/>
      <c r="C24" s="65" t="n">
        <v>1571</v>
      </c>
      <c r="D24" s="65" t="n">
        <v>1625</v>
      </c>
      <c r="E24" s="65" t="n">
        <v>1637</v>
      </c>
      <c r="F24" s="65" t="n">
        <v>1636</v>
      </c>
      <c r="G24" s="78">
        <f>IF(OR(E24="",E24=0,F24=""),"",(F24-E24)/E24)</f>
        <v/>
      </c>
      <c r="H24" s="76" t="inlineStr">
        <is>
          <t>股本用摊薄加权平均股数，百万股。2025年16.36亿股，2024年16.37亿股，来自业绩稿。</t>
        </is>
      </c>
      <c r="I24" s="41" t="n"/>
    </row>
    <row r="25" ht="36" customHeight="1" s="42">
      <c r="A25" s="49" t="inlineStr">
        <is>
          <t>核对：H9 应接近你填的毛利率；H12 是经营现金流/净利润（现金转化，&gt;0.8 较健康）；H14=OCF-资本开支；H20=有息负债-现金。数字对不上年报时先停。</t>
        </is>
      </c>
    </row>
    <row r="27" ht="22.05" customHeight="1" s="42">
      <c r="A27" s="43" t="inlineStr">
        <is>
          <t>质量解读（文字，给备忘录用）</t>
        </is>
      </c>
    </row>
    <row r="28" ht="22.05" customHeight="1" s="42">
      <c r="A28" s="51" t="inlineStr">
        <is>
          <t>维度</t>
        </is>
      </c>
      <c r="B28" s="51" t="inlineStr">
        <is>
          <t>看什么</t>
        </is>
      </c>
      <c r="C28" s="51" t="inlineStr">
        <is>
          <t>你的判断（黄格）</t>
        </is>
      </c>
      <c r="D28" s="46" t="n"/>
      <c r="E28" s="47" t="n"/>
      <c r="F28" s="51" t="inlineStr">
        <is>
          <t>危险信号对照</t>
        </is>
      </c>
      <c r="G28" s="46" t="n"/>
      <c r="H28" s="46" t="n"/>
      <c r="I28" s="47" t="n"/>
    </row>
    <row r="29" ht="28.05" customHeight="1" s="42">
      <c r="A29" s="9" t="inlineStr">
        <is>
          <t>成长</t>
        </is>
      </c>
      <c r="B29" s="45" t="inlineStr">
        <is>
          <t>营收、扣非净利、FCF 是否同向</t>
        </is>
      </c>
      <c r="C29" s="63" t="inlineStr">
        <is>
          <t>收入从2023年226.80亿美元增到2025年346.39亿美元。GAAP净利润从8.54亿美元增到43.35亿美元。自由现金流从2023年11.21亿美元增到2025年55.19亿美元。三者同向。</t>
        </is>
      </c>
      <c r="D29" s="46" t="n"/>
      <c r="E29" s="47" t="n"/>
      <c r="F29" s="60" t="inlineStr">
        <is>
          <t>利润涨、现金不涨</t>
        </is>
      </c>
      <c r="G29" s="46" t="n"/>
      <c r="H29" s="46" t="n"/>
      <c r="I29" s="47" t="n"/>
    </row>
    <row r="30" ht="28.05" customHeight="1" s="42">
      <c r="A30" s="9" t="inlineStr">
        <is>
          <t>盈利</t>
        </is>
      </c>
      <c r="B30" s="45" t="inlineStr">
        <is>
          <t>毛利率稳或升，费用不失控</t>
        </is>
      </c>
      <c r="C30" s="63" t="inlineStr">
        <is>
          <t>GAAP毛利率从2023年0.4612升到2025年0.4952。营业利润从4.01亿美元增到36.94亿美元。研发费用2025年80.91亿美元，销售及管理费用41.44亿美元，费用在涨，但没有快过毛利。</t>
        </is>
      </c>
      <c r="D30" s="46" t="n"/>
      <c r="E30" s="47" t="n"/>
      <c r="F30" s="60" t="inlineStr">
        <is>
          <t>靠费用压缩撑净利</t>
        </is>
      </c>
      <c r="G30" s="46" t="n"/>
      <c r="H30" s="46" t="n"/>
      <c r="I30" s="47" t="n"/>
    </row>
    <row r="31" ht="28.05" customHeight="1" s="42">
      <c r="A31" s="9" t="inlineStr">
        <is>
          <t>回报</t>
        </is>
      </c>
      <c r="B31" s="45" t="inlineStr">
        <is>
          <t>ROIC 是否持续高于资本成本</t>
        </is>
      </c>
      <c r="C31" s="63" t="inlineStr">
        <is>
          <t>2025年自算ROIC约0.0558，期末ROE 0.0688。回报比2024年的ROE 0.0285高，分母里有251亿美元商誉。不能写成已经高于资本成本。</t>
        </is>
      </c>
      <c r="D31" s="46" t="n"/>
      <c r="E31" s="47" t="n"/>
      <c r="F31" s="60" t="inlineStr">
        <is>
          <t>靠加杠杆抬 ROE</t>
        </is>
      </c>
      <c r="G31" s="46" t="n"/>
      <c r="H31" s="46" t="n"/>
      <c r="I31" s="47" t="n"/>
    </row>
    <row r="32" ht="28.05" customHeight="1" s="42">
      <c r="A32" s="9" t="inlineStr">
        <is>
          <t>现金</t>
        </is>
      </c>
      <c r="B32" s="45" t="inlineStr">
        <is>
          <t>现金转化是否稳定</t>
        </is>
      </c>
      <c r="C32" s="63" t="inlineStr">
        <is>
          <t>2025年持续经营经营现金流64.93亿美元，是GAAP净利润的1.50倍。应计为负。自由现金流为正，不是靠利润没有现金。</t>
        </is>
      </c>
      <c r="D32" s="46" t="n"/>
      <c r="E32" s="47" t="n"/>
      <c r="F32" s="60" t="inlineStr">
        <is>
          <t>应计利润高、资本化激进</t>
        </is>
      </c>
      <c r="G32" s="46" t="n"/>
      <c r="H32" s="46" t="n"/>
      <c r="I32" s="47" t="n"/>
    </row>
    <row r="33" ht="28.05" customHeight="1" s="42">
      <c r="A33" s="9" t="inlineStr">
        <is>
          <t>资产负债</t>
        </is>
      </c>
      <c r="B33" s="45" t="inlineStr">
        <is>
          <t>短债覆盖、商誉、应收/存货</t>
        </is>
      </c>
      <c r="C33" s="63" t="inlineStr">
        <is>
          <t>现金105.52亿美元高于总债务32.22亿美元。应收账款从61.92亿到63.15亿美元，慢于收入。存货从57.34亿到79.20亿美元，10-K写存货增加22亿美元，主要是数据中心备货。商誉251亿美元是旧收购，不是新的减值已确认。</t>
        </is>
      </c>
      <c r="D33" s="46" t="n"/>
      <c r="E33" s="47" t="n"/>
      <c r="F33" s="60" t="inlineStr">
        <is>
          <t>商誉大、应收存货异常升</t>
        </is>
      </c>
      <c r="G33" s="46" t="n"/>
      <c r="H33" s="46" t="n"/>
      <c r="I33" s="47" t="n"/>
    </row>
  </sheetData>
  <mergeCells count="17">
    <mergeCell ref="F32:I32"/>
    <mergeCell ref="A25:I25"/>
    <mergeCell ref="C33:E33"/>
    <mergeCell ref="F31:I31"/>
    <mergeCell ref="C28:E28"/>
    <mergeCell ref="A2:I2"/>
    <mergeCell ref="C31:E31"/>
    <mergeCell ref="A1:I1"/>
    <mergeCell ref="F30:I30"/>
    <mergeCell ref="A27:I27"/>
    <mergeCell ref="F29:I29"/>
    <mergeCell ref="A3:I3"/>
    <mergeCell ref="C29:E29"/>
    <mergeCell ref="C30:E30"/>
    <mergeCell ref="F33:I33"/>
    <mergeCell ref="C32:E32"/>
    <mergeCell ref="F28:I28"/>
  </mergeCells>
  <printOptions horizontalCentered="1"/>
  <pageMargins left="0.5" right="0.5" top="0.6" bottom="0.6" header="0.5" footer="0.5"/>
  <pageSetup orientation="landscape" paperSize="9" fitToHeight="0"/>
</worksheet>
</file>

<file path=xl/worksheets/sheet5.xml><?xml version="1.0" encoding="utf-8"?>
<worksheet xmlns="http://schemas.openxmlformats.org/spreadsheetml/2006/main">
  <sheetPr>
    <tabColor rgb="FF2E75B6"/>
    <outlinePr summaryBelow="1" summaryRight="1"/>
    <pageSetUpPr fitToPage="1"/>
  </sheetPr>
  <dimension ref="A1:F67"/>
  <sheetViews>
    <sheetView showGridLines="0" workbookViewId="0">
      <pane ySplit="1" topLeftCell="A2" activePane="bottomLeft" state="frozen"/>
      <selection pane="bottomLeft" activeCell="A1" sqref="A1"/>
    </sheetView>
  </sheetViews>
  <sheetFormatPr baseColWidth="8" defaultRowHeight="13.5"/>
  <cols>
    <col width="22" customWidth="1" style="42" min="1" max="1"/>
    <col width="16" customWidth="1" style="42" min="2" max="3"/>
    <col width="44" customWidth="1" style="42" min="4" max="4"/>
    <col width="18" customWidth="1" style="42" min="5" max="5"/>
    <col width="22" customWidth="1" style="42" min="6" max="6"/>
  </cols>
  <sheetData>
    <row r="1" ht="28.05" customHeight="1" s="42">
      <c r="A1" s="53" t="inlineStr">
        <is>
          <t>质量评分  ·  F / Z / M（体检，不是买卖信号）</t>
        </is>
      </c>
      <c r="B1" s="46" t="n"/>
      <c r="C1" s="46" t="n"/>
      <c r="D1" s="46" t="n"/>
      <c r="E1" s="46" t="n"/>
      <c r="F1" s="47" t="n"/>
    </row>
    <row r="2">
      <c r="A2" s="58">
        <f>"标的："&amp;IF(封面!B5="","（先填封面）",封面!B5)</f>
        <v/>
      </c>
      <c r="B2" s="46" t="n"/>
      <c r="C2" s="46" t="n"/>
      <c r="D2" s="46" t="n"/>
      <c r="E2" s="46" t="n"/>
      <c r="F2" s="47" t="n"/>
    </row>
    <row r="3" ht="36" customHeight="1" s="42">
      <c r="A3" s="49" t="inlineStr">
        <is>
          <t>可从「财务」表抄最近两年，或直接填。空着的项不记分。金融、保险、REITs 不要用原版 Z。高增长公司 M 分数易假阳性。</t>
        </is>
      </c>
    </row>
    <row r="5" ht="22.05" customHeight="1" s="42">
      <c r="A5" s="43" t="inlineStr">
        <is>
          <t>A. 输入（与财务表最近两年对应）</t>
        </is>
      </c>
    </row>
    <row r="6" ht="22.05" customHeight="1" s="42">
      <c r="A6" s="51" t="inlineStr">
        <is>
          <t>项目</t>
        </is>
      </c>
      <c r="B6" s="51" t="inlineStr">
        <is>
          <t>上年 T-1</t>
        </is>
      </c>
      <c r="C6" s="51" t="inlineStr">
        <is>
          <t>本年 T</t>
        </is>
      </c>
      <c r="D6" s="51" t="inlineStr">
        <is>
          <t>说明</t>
        </is>
      </c>
      <c r="E6" s="51" t="inlineStr">
        <is>
          <t>财务表对照</t>
        </is>
      </c>
      <c r="F6" s="47" t="n"/>
    </row>
    <row r="7" ht="15" customHeight="1" s="42">
      <c r="A7" s="9" t="inlineStr">
        <is>
          <t>净利润</t>
        </is>
      </c>
      <c r="B7" s="65" t="n">
        <v>1641</v>
      </c>
      <c r="C7" s="65" t="n">
        <v>4335</v>
      </c>
      <c r="D7" s="45" t="inlineStr">
        <is>
          <t>财务!E11 / F11</t>
        </is>
      </c>
      <c r="E7" s="46" t="n"/>
      <c r="F7" s="47" t="n"/>
    </row>
    <row r="8" ht="15" customHeight="1" s="42">
      <c r="A8" s="9" t="inlineStr">
        <is>
          <t>总资产</t>
        </is>
      </c>
      <c r="B8" s="65" t="n">
        <v>69226</v>
      </c>
      <c r="C8" s="65" t="n">
        <v>76926</v>
      </c>
      <c r="D8" s="45" t="inlineStr">
        <is>
          <t>财务!E17 / F17</t>
        </is>
      </c>
      <c r="E8" s="46" t="n"/>
      <c r="F8" s="47" t="n"/>
    </row>
    <row r="9" ht="15" customHeight="1" s="42">
      <c r="A9" s="9" t="inlineStr">
        <is>
          <t>经营现金流</t>
        </is>
      </c>
      <c r="B9" s="65" t="n">
        <v>3041</v>
      </c>
      <c r="C9" s="65" t="n">
        <v>6493</v>
      </c>
      <c r="D9" s="45" t="inlineStr">
        <is>
          <t>财务!E12 / F12</t>
        </is>
      </c>
      <c r="E9" s="46" t="n"/>
      <c r="F9" s="47" t="n"/>
    </row>
    <row r="10" ht="15" customHeight="1" s="42">
      <c r="A10" s="9" t="inlineStr">
        <is>
          <t>长期/有息负债</t>
        </is>
      </c>
      <c r="B10" s="65" t="n">
        <v>1721</v>
      </c>
      <c r="C10" s="65" t="n">
        <v>3222</v>
      </c>
      <c r="D10" s="45" t="inlineStr">
        <is>
          <t>财务!E18 / F18</t>
        </is>
      </c>
      <c r="E10" s="46" t="n"/>
      <c r="F10" s="47" t="n"/>
    </row>
    <row r="11" ht="15" customHeight="1" s="42">
      <c r="A11" s="9" t="inlineStr">
        <is>
          <t>流动资产</t>
        </is>
      </c>
      <c r="B11" s="65" t="n">
        <v>19049</v>
      </c>
      <c r="C11" s="65" t="n">
        <v>26947</v>
      </c>
      <c r="D11" s="45" t="inlineStr">
        <is>
          <t>资产负债表</t>
        </is>
      </c>
      <c r="E11" s="46" t="n"/>
      <c r="F11" s="47" t="n"/>
    </row>
    <row r="12" ht="15" customHeight="1" s="42">
      <c r="A12" s="9" t="inlineStr">
        <is>
          <t>流动负债</t>
        </is>
      </c>
      <c r="B12" s="65" t="n">
        <v>7281</v>
      </c>
      <c r="C12" s="65" t="n">
        <v>9455</v>
      </c>
      <c r="D12" s="45" t="inlineStr">
        <is>
          <t>资产负债表</t>
        </is>
      </c>
      <c r="E12" s="46" t="n"/>
      <c r="F12" s="47" t="n"/>
    </row>
    <row r="13" ht="15" customHeight="1" s="42">
      <c r="A13" s="9" t="inlineStr">
        <is>
          <t>股本数量</t>
        </is>
      </c>
      <c r="B13" s="65" t="n">
        <v>1637</v>
      </c>
      <c r="C13" s="65" t="n">
        <v>1636</v>
      </c>
      <c r="D13" s="45" t="inlineStr">
        <is>
          <t>财务!E24 / F24</t>
        </is>
      </c>
      <c r="E13" s="46" t="n"/>
      <c r="F13" s="47" t="n"/>
    </row>
    <row r="14" ht="15" customHeight="1" s="42">
      <c r="A14" s="9" t="inlineStr">
        <is>
          <t>毛利</t>
        </is>
      </c>
      <c r="B14" s="65" t="n">
        <v>12725</v>
      </c>
      <c r="C14" s="65" t="n">
        <v>17152</v>
      </c>
      <c r="D14" s="45" t="inlineStr">
        <is>
          <t>财务!E8 / F8</t>
        </is>
      </c>
      <c r="E14" s="46" t="n"/>
      <c r="F14" s="47" t="n"/>
    </row>
    <row r="15" ht="15" customHeight="1" s="42">
      <c r="A15" s="9" t="inlineStr">
        <is>
          <t>营业收入</t>
        </is>
      </c>
      <c r="B15" s="65" t="n">
        <v>25785</v>
      </c>
      <c r="C15" s="65" t="n">
        <v>34639</v>
      </c>
      <c r="D15" s="45" t="inlineStr">
        <is>
          <t>财务!E7 / F7</t>
        </is>
      </c>
      <c r="E15" s="46" t="n"/>
      <c r="F15" s="47" t="n"/>
    </row>
    <row r="16" ht="15" customHeight="1" s="42">
      <c r="A16" s="9" t="inlineStr">
        <is>
          <t>留存收益</t>
        </is>
      </c>
      <c r="B16" s="65" t="n">
        <v>2364</v>
      </c>
      <c r="C16" s="65" t="n">
        <v>6699</v>
      </c>
      <c r="D16" s="45" t="inlineStr">
        <is>
          <t>Z 分数用</t>
        </is>
      </c>
      <c r="E16" s="46" t="n"/>
      <c r="F16" s="47" t="n"/>
    </row>
    <row r="17" ht="15" customHeight="1" s="42">
      <c r="A17" s="9" t="inlineStr">
        <is>
          <t>EBIT / 营业利润</t>
        </is>
      </c>
      <c r="B17" s="65" t="n">
        <v>1900</v>
      </c>
      <c r="C17" s="65" t="n">
        <v>3694</v>
      </c>
      <c r="D17" s="45" t="inlineStr">
        <is>
          <t>Z 分数用</t>
        </is>
      </c>
      <c r="E17" s="46" t="n"/>
      <c r="F17" s="47" t="n"/>
    </row>
    <row r="18" ht="15" customHeight="1" s="42">
      <c r="A18" s="9" t="inlineStr">
        <is>
          <t>总负债</t>
        </is>
      </c>
      <c r="B18" s="65" t="n">
        <v>11658</v>
      </c>
      <c r="C18" s="65" t="n">
        <v>13927</v>
      </c>
      <c r="D18" s="45" t="inlineStr">
        <is>
          <t>Z / M 用</t>
        </is>
      </c>
      <c r="E18" s="46" t="n"/>
      <c r="F18" s="47" t="n"/>
    </row>
    <row r="19" ht="15" customHeight="1" s="42">
      <c r="A19" s="9" t="inlineStr">
        <is>
          <t>股权市值</t>
        </is>
      </c>
      <c r="B19" s="77" t="n"/>
      <c r="C19" s="65" t="n">
        <v>992332.6040000001</v>
      </c>
      <c r="D19" s="45" t="inlineStr">
        <is>
          <t>现价×股本，Z 的 X4</t>
        </is>
      </c>
      <c r="E19" s="46" t="n"/>
      <c r="F19" s="47" t="n"/>
    </row>
    <row r="20" ht="15" customHeight="1" s="42">
      <c r="A20" s="9" t="inlineStr">
        <is>
          <t>营运资本</t>
        </is>
      </c>
      <c r="B20" s="77" t="n"/>
      <c r="C20" s="77" t="n"/>
      <c r="D20" s="45" t="inlineStr">
        <is>
          <t>留空则用右边自动值</t>
        </is>
      </c>
      <c r="E20" s="82">
        <f>IF(C20&lt;&gt;"",C20,IF(OR(C11="",C12=""),"",C11-C12))</f>
        <v/>
      </c>
      <c r="F20" s="45" t="inlineStr">
        <is>
          <t>本年营运资本(用于Z)</t>
        </is>
      </c>
    </row>
    <row r="21" ht="15" customHeight="1" s="42">
      <c r="A21" s="9" t="inlineStr">
        <is>
          <t>应收账款</t>
        </is>
      </c>
      <c r="B21" s="65" t="n">
        <v>6192</v>
      </c>
      <c r="C21" s="65" t="n">
        <v>6315</v>
      </c>
      <c r="D21" s="45" t="inlineStr">
        <is>
          <t>M 分数用</t>
        </is>
      </c>
      <c r="E21" s="46" t="n"/>
      <c r="F21" s="47" t="n"/>
    </row>
    <row r="22" ht="15" customHeight="1" s="42">
      <c r="A22" s="9" t="inlineStr">
        <is>
          <t>固定资产净额 PPE</t>
        </is>
      </c>
      <c r="B22" s="65" t="n">
        <v>1802</v>
      </c>
      <c r="C22" s="65" t="n">
        <v>2312</v>
      </c>
      <c r="D22" s="45" t="inlineStr">
        <is>
          <t>M 分数用</t>
        </is>
      </c>
      <c r="E22" s="46" t="n"/>
      <c r="F22" s="47" t="n"/>
    </row>
    <row r="23" ht="15" customHeight="1" s="42">
      <c r="A23" s="9" t="inlineStr">
        <is>
          <t>折旧</t>
        </is>
      </c>
      <c r="B23" s="65" t="n">
        <v>3064</v>
      </c>
      <c r="C23" s="65" t="n">
        <v>3004</v>
      </c>
      <c r="D23" s="45" t="inlineStr">
        <is>
          <t>M 分数用</t>
        </is>
      </c>
      <c r="E23" s="46" t="n"/>
      <c r="F23" s="47" t="n"/>
    </row>
    <row r="24" ht="15" customHeight="1" s="42">
      <c r="A24" s="9" t="inlineStr">
        <is>
          <t>销售管理费用</t>
        </is>
      </c>
      <c r="B24" s="65" t="n">
        <v>2735</v>
      </c>
      <c r="C24" s="65" t="n">
        <v>4144</v>
      </c>
      <c r="D24" s="45" t="inlineStr">
        <is>
          <t>M 分数用；没有可留空</t>
        </is>
      </c>
      <c r="E24" s="46" t="n"/>
      <c r="F24" s="47" t="n"/>
    </row>
    <row r="26" ht="22.05" customHeight="1" s="42">
      <c r="A26" s="43" t="inlineStr">
        <is>
          <t>一键带入财务表最近两年（可覆盖上面黄格：把下面公式复制到 B7:C15）</t>
        </is>
      </c>
    </row>
    <row r="27">
      <c r="A27" s="45" t="inlineStr">
        <is>
          <t>提示</t>
        </is>
      </c>
      <c r="B27" s="45" t="inlineStr">
        <is>
          <t>不想手工抄：把 B7 改成 =财务!E11，C7 改成 =财务!F11，其余科目同样从财务表 E/F 列引用。改完字体会变绿，这是正常的。</t>
        </is>
      </c>
      <c r="C27" s="46" t="n"/>
      <c r="D27" s="46" t="n"/>
      <c r="E27" s="46" t="n"/>
      <c r="F27" s="47" t="n"/>
    </row>
    <row r="29" ht="22.05" customHeight="1" s="42">
      <c r="A29" s="43" t="inlineStr">
        <is>
          <t>B. Piotroski F-Score（9 项，变好=1）</t>
        </is>
      </c>
    </row>
    <row r="30" ht="22.05" customHeight="1" s="42">
      <c r="A30" s="51" t="inlineStr">
        <is>
          <t>代码</t>
        </is>
      </c>
      <c r="B30" s="51" t="inlineStr">
        <is>
          <t>条件</t>
        </is>
      </c>
      <c r="C30" s="51" t="inlineStr">
        <is>
          <t>得分</t>
        </is>
      </c>
      <c r="D30" s="51" t="inlineStr">
        <is>
          <t>计算说明</t>
        </is>
      </c>
      <c r="E30" s="46" t="n"/>
      <c r="F30" s="47" t="n"/>
    </row>
    <row r="31" ht="15" customHeight="1" s="42">
      <c r="A31" s="2" t="inlineStr">
        <is>
          <t>F1</t>
        </is>
      </c>
      <c r="B31" s="55" t="inlineStr">
        <is>
          <t>ROA &gt; 0</t>
        </is>
      </c>
      <c r="C31" s="23">
        <f>IF(OR(C7="",C8="",C8=0),"",IF(C7/C8&gt;0,1,0))</f>
        <v/>
      </c>
      <c r="D31" s="45" t="inlineStr">
        <is>
          <t>本年净利润/总资产&gt;0</t>
        </is>
      </c>
      <c r="E31" s="46" t="n"/>
      <c r="F31" s="47" t="n"/>
    </row>
    <row r="32" ht="15" customHeight="1" s="42">
      <c r="A32" s="2" t="inlineStr">
        <is>
          <t>F2</t>
        </is>
      </c>
      <c r="B32" s="55" t="inlineStr">
        <is>
          <t>CFO &gt; 0</t>
        </is>
      </c>
      <c r="C32" s="23">
        <f>IF(C9="","",IF(C9&gt;0,1,0))</f>
        <v/>
      </c>
      <c r="D32" s="45" t="inlineStr">
        <is>
          <t>经营现金流&gt;0</t>
        </is>
      </c>
      <c r="E32" s="46" t="n"/>
      <c r="F32" s="47" t="n"/>
    </row>
    <row r="33" ht="15" customHeight="1" s="42">
      <c r="A33" s="2" t="inlineStr">
        <is>
          <t>F3</t>
        </is>
      </c>
      <c r="B33" s="55" t="inlineStr">
        <is>
          <t>ΔROA &gt; 0</t>
        </is>
      </c>
      <c r="C33" s="23">
        <f>IF(OR(B7="",B8="",B8=0,C7="",C8="",C8=0),"",IF(C7/C8&gt;B7/B8,1,0))</f>
        <v/>
      </c>
      <c r="D33" s="45" t="inlineStr">
        <is>
          <t>ROA 改善</t>
        </is>
      </c>
      <c r="E33" s="46" t="n"/>
      <c r="F33" s="47" t="n"/>
    </row>
    <row r="34" ht="15" customHeight="1" s="42">
      <c r="A34" s="2" t="inlineStr">
        <is>
          <t>F4</t>
        </is>
      </c>
      <c r="B34" s="55" t="inlineStr">
        <is>
          <t>CFO &gt; 净利润</t>
        </is>
      </c>
      <c r="C34" s="23">
        <f>IF(OR(C9="",C7=""),"",IF(C9&gt;C7,1,0))</f>
        <v/>
      </c>
      <c r="D34" s="45" t="inlineStr">
        <is>
          <t>应计为负（现金质量）</t>
        </is>
      </c>
      <c r="E34" s="46" t="n"/>
      <c r="F34" s="47" t="n"/>
    </row>
    <row r="35" ht="15" customHeight="1" s="42">
      <c r="A35" s="2" t="inlineStr">
        <is>
          <t>F5</t>
        </is>
      </c>
      <c r="B35" s="55" t="inlineStr">
        <is>
          <t>杠杆下降</t>
        </is>
      </c>
      <c r="C35" s="23">
        <f>IF(OR(B10="",B8="",B8=0,C10="",C8="",C8=0),"",IF(C10/C8&lt;B10/B8,1,0))</f>
        <v/>
      </c>
      <c r="D35" s="45" t="inlineStr">
        <is>
          <t>有息负债/资产下降</t>
        </is>
      </c>
      <c r="E35" s="46" t="n"/>
      <c r="F35" s="47" t="n"/>
    </row>
    <row r="36" ht="15" customHeight="1" s="42">
      <c r="A36" s="2" t="inlineStr">
        <is>
          <t>F6</t>
        </is>
      </c>
      <c r="B36" s="55" t="inlineStr">
        <is>
          <t>流动比率上升</t>
        </is>
      </c>
      <c r="C36" s="23">
        <f>IF(OR(B11="",B12="",B12=0,C11="",C12="",C12=0),"",IF(C11/C12&gt;B11/B12,1,0))</f>
        <v/>
      </c>
      <c r="D36" s="45" t="inlineStr">
        <is>
          <t>CA/CL 改善</t>
        </is>
      </c>
      <c r="E36" s="46" t="n"/>
      <c r="F36" s="47" t="n"/>
    </row>
    <row r="37" ht="15" customHeight="1" s="42">
      <c r="A37" s="2" t="inlineStr">
        <is>
          <t>F7</t>
        </is>
      </c>
      <c r="B37" s="55" t="inlineStr">
        <is>
          <t>未增发</t>
        </is>
      </c>
      <c r="C37" s="23">
        <f>IF(OR(B13="",C13=""),"",IF(C13&lt;=B13,1,0))</f>
        <v/>
      </c>
      <c r="D37" s="45" t="inlineStr">
        <is>
          <t>股本未增加</t>
        </is>
      </c>
      <c r="E37" s="46" t="n"/>
      <c r="F37" s="47" t="n"/>
    </row>
    <row r="38" ht="15" customHeight="1" s="42">
      <c r="A38" s="2" t="inlineStr">
        <is>
          <t>F8</t>
        </is>
      </c>
      <c r="B38" s="55" t="inlineStr">
        <is>
          <t>毛利率改善</t>
        </is>
      </c>
      <c r="C38" s="23">
        <f>IF(OR(B14="",B15="",B15=0,C14="",C15="",C15=0),"",IF(C14/C15&gt;B14/B15,1,0))</f>
        <v/>
      </c>
      <c r="D38" s="45" t="inlineStr">
        <is>
          <t>毛利/收入上升</t>
        </is>
      </c>
      <c r="E38" s="46" t="n"/>
      <c r="F38" s="47" t="n"/>
    </row>
    <row r="39" ht="15" customHeight="1" s="42">
      <c r="A39" s="2" t="inlineStr">
        <is>
          <t>F9</t>
        </is>
      </c>
      <c r="B39" s="55" t="inlineStr">
        <is>
          <t>周转改善</t>
        </is>
      </c>
      <c r="C39" s="23">
        <f>IF(OR(B15="",B8="",B8=0,C15="",C8="",C8=0),"",IF(C15/C8&gt;B15/B8,1,0))</f>
        <v/>
      </c>
      <c r="D39" s="45" t="inlineStr">
        <is>
          <t>收入/资产上升</t>
        </is>
      </c>
      <c r="E39" s="46" t="n"/>
      <c r="F39" s="47" t="n"/>
    </row>
    <row r="40" ht="15" customHeight="1" s="42">
      <c r="A40" s="9" t="inlineStr">
        <is>
          <t>F-Score 合计</t>
        </is>
      </c>
      <c r="B40" s="23">
        <f>SUM(C31:C39)</f>
        <v/>
      </c>
      <c r="C40" s="24">
        <f>IF(COUNT(C31:C39)&lt;9,"缺项，仅供参考",IF(B40&gt;=8,"强",IF(B40&lt;=3,"弱","中")))</f>
        <v/>
      </c>
      <c r="D40" s="45" t="inlineStr">
        <is>
          <t>8–9 强；0–3 弱。只看趋势质量，不看贵贱。</t>
        </is>
      </c>
      <c r="E40" s="46" t="n"/>
      <c r="F40" s="47" t="n"/>
    </row>
    <row r="42" ht="22.05" customHeight="1" s="42">
      <c r="A42" s="43" t="inlineStr">
        <is>
          <t>C. Altman Z-Score（非金融）</t>
        </is>
      </c>
    </row>
    <row r="43" ht="15" customHeight="1" s="42">
      <c r="A43" s="9" t="inlineStr">
        <is>
          <t>模型</t>
        </is>
      </c>
      <c r="B43" s="63" t="inlineStr">
        <is>
          <t>原版制造业</t>
        </is>
      </c>
      <c r="C43" s="45" t="inlineStr">
        <is>
          <t>原版：Z=1.2X1+1.4X2+3.3X3+0.6X4+1.0X5。非制造：6.56X1+3.26X2+6.72X3+1.05X4。</t>
        </is>
      </c>
      <c r="D43" s="46" t="n"/>
      <c r="E43" s="46" t="n"/>
      <c r="F43" s="47" t="n"/>
    </row>
    <row r="44" ht="15" customHeight="1" s="42">
      <c r="A44" s="55" t="inlineStr">
        <is>
          <t>X1 营运资本/总资产</t>
        </is>
      </c>
      <c r="B44" s="32">
        <f>IF(OR(E20="",C8="",C8=0),"",E20/C8)</f>
        <v/>
      </c>
    </row>
    <row r="45" ht="15" customHeight="1" s="42">
      <c r="A45" s="55" t="inlineStr">
        <is>
          <t>X2 留存收益/总资产</t>
        </is>
      </c>
      <c r="B45" s="32">
        <f>IF(OR(C16="",C8="",C8=0),"",C16/C8)</f>
        <v/>
      </c>
    </row>
    <row r="46" ht="15" customHeight="1" s="42">
      <c r="A46" s="55" t="inlineStr">
        <is>
          <t>X3 EBIT/总资产</t>
        </is>
      </c>
      <c r="B46" s="32">
        <f>IF(OR(C17="",C8="",C8=0),"",C17/C8)</f>
        <v/>
      </c>
    </row>
    <row r="47" ht="15" customHeight="1" s="42">
      <c r="A47" s="55" t="inlineStr">
        <is>
          <t>X4 市值/总负债</t>
        </is>
      </c>
      <c r="B47" s="32">
        <f>IF(OR(C19="",C18="",C18=0),"",C19/C18)</f>
        <v/>
      </c>
    </row>
    <row r="48" ht="15" customHeight="1" s="42">
      <c r="A48" s="55" t="inlineStr">
        <is>
          <t>X5 营收/总资产</t>
        </is>
      </c>
      <c r="B48" s="32">
        <f>IF(OR(C15="",C8="",C8=0),"",C15/C8)</f>
        <v/>
      </c>
    </row>
    <row r="49" ht="15" customHeight="1" s="42">
      <c r="A49" s="9" t="inlineStr">
        <is>
          <t>Z-Score</t>
        </is>
      </c>
      <c r="B49" s="32">
        <f>IF(B43="非制造/新兴",IF(COUNT(B44:B47)&lt;4,"",6.56*B44+3.26*B45+6.72*B46+1.05*B47),IF(COUNT(B44:B48)&lt;5,"",1.2*B44+1.4*B45+3.3*B46+0.6*B47+1*B48))</f>
        <v/>
      </c>
      <c r="C49" s="24">
        <f>IF(B49="","",IF(B43="非制造/新兴",IF(B49&gt;2.6,"较安全",IF(B49&lt;1.1,"困境区","灰区")),IF(B49&gt;2.99,"较安全",IF(B49&lt;1.81,"困境区","灰区"))))</f>
        <v/>
      </c>
      <c r="D49" s="45" t="inlineStr">
        <is>
          <t>银行/保险/REITs 不要用。灰区需要看利息覆盖和短债。</t>
        </is>
      </c>
      <c r="E49" s="46" t="n"/>
      <c r="F49" s="47" t="n"/>
    </row>
    <row r="51" ht="22.05" customHeight="1" s="42">
      <c r="A51" s="43" t="inlineStr">
        <is>
          <t>D. Beneish M-Score</t>
        </is>
      </c>
    </row>
    <row r="52" ht="22.05" customHeight="1" s="42">
      <c r="A52" s="51" t="inlineStr">
        <is>
          <t>指标</t>
        </is>
      </c>
      <c r="B52" s="51" t="inlineStr">
        <is>
          <t>公式</t>
        </is>
      </c>
      <c r="C52" s="51" t="inlineStr">
        <is>
          <t>数值</t>
        </is>
      </c>
      <c r="D52" s="51" t="inlineStr">
        <is>
          <t>含义</t>
        </is>
      </c>
      <c r="E52" s="46" t="n"/>
      <c r="F52" s="47" t="n"/>
    </row>
    <row r="53" ht="20" customHeight="1" s="42">
      <c r="A53" s="2" t="inlineStr">
        <is>
          <t>DSRI</t>
        </is>
      </c>
      <c r="B53" s="83">
        <f>IF(OR(B21="",B15="",B15=0,C21="",C15="",C15=0),"",(C21/C15)/(B21/B15))</f>
        <v/>
      </c>
      <c r="C53" s="45" t="inlineStr">
        <is>
          <t>应收/收入 是否异常上升</t>
        </is>
      </c>
      <c r="D53" s="46" t="n"/>
      <c r="E53" s="46" t="n"/>
      <c r="F53" s="47" t="n"/>
    </row>
    <row r="54" ht="20" customHeight="1" s="42">
      <c r="A54" s="2" t="inlineStr">
        <is>
          <t>GMI</t>
        </is>
      </c>
      <c r="B54" s="83">
        <f>IF(OR(B14="",B15="",B15=0,C14="",C15="",C15=0),"",(B14/B15)/(C14/C15))</f>
        <v/>
      </c>
      <c r="C54" s="45" t="inlineStr">
        <is>
          <t>毛利率恶化&gt;1</t>
        </is>
      </c>
      <c r="D54" s="46" t="n"/>
      <c r="E54" s="46" t="n"/>
      <c r="F54" s="47" t="n"/>
    </row>
    <row r="55" ht="20" customHeight="1" s="42">
      <c r="A55" s="2" t="inlineStr">
        <is>
          <t>AQI</t>
        </is>
      </c>
      <c r="B55" s="83">
        <f>IF(COUNTA(B11,B22,B8,C11,C22,C8)&lt;6,"",IF(OR(B8=0,C8=0),"",IF((1-(B11+B22)/B8)=0,"",(1-(C11+C22)/C8)/(1-(B11+B22)/B8))))</f>
        <v/>
      </c>
      <c r="C55" s="45" t="inlineStr">
        <is>
          <t>资产质量下降</t>
        </is>
      </c>
      <c r="D55" s="46" t="n"/>
      <c r="E55" s="46" t="n"/>
      <c r="F55" s="47" t="n"/>
    </row>
    <row r="56" ht="20" customHeight="1" s="42">
      <c r="A56" s="2" t="inlineStr">
        <is>
          <t>SGI</t>
        </is>
      </c>
      <c r="B56" s="83">
        <f>IF(OR(B15="",B15=0,C15=""),"",C15/B15)</f>
        <v/>
      </c>
      <c r="C56" s="45" t="inlineStr">
        <is>
          <t>收入增长</t>
        </is>
      </c>
      <c r="D56" s="46" t="n"/>
      <c r="E56" s="46" t="n"/>
      <c r="F56" s="47" t="n"/>
    </row>
    <row r="57" ht="20" customHeight="1" s="42">
      <c r="A57" s="2" t="inlineStr">
        <is>
          <t>DEPI</t>
        </is>
      </c>
      <c r="B57" s="83">
        <f>IF(OR(B23="",B22="",C23="",C22="",(C23+C22)=0,(B23+B22)=0),"",(B23/(B23+B22))/(C23/(C23+C22)))</f>
        <v/>
      </c>
      <c r="C57" s="45" t="inlineStr">
        <is>
          <t>折旧变慢&gt;1</t>
        </is>
      </c>
      <c r="D57" s="46" t="n"/>
      <c r="E57" s="46" t="n"/>
      <c r="F57" s="47" t="n"/>
    </row>
    <row r="58" ht="20" customHeight="1" s="42">
      <c r="A58" s="2" t="inlineStr">
        <is>
          <t>SGAI</t>
        </is>
      </c>
      <c r="B58" s="83">
        <f>IF(OR(B24="",B15="",B15=0,C24="",C15="",C15=0),"",(C24/C15)/(B24/B15))</f>
        <v/>
      </c>
      <c r="C58" s="45" t="inlineStr">
        <is>
          <t>费用率上升</t>
        </is>
      </c>
      <c r="D58" s="46" t="n"/>
      <c r="E58" s="46" t="n"/>
      <c r="F58" s="47" t="n"/>
    </row>
    <row r="59" ht="20" customHeight="1" s="42">
      <c r="A59" s="2" t="inlineStr">
        <is>
          <t>TATA</t>
        </is>
      </c>
      <c r="B59" s="83">
        <f>IF(OR(C7="",C9="",C8="",C8=0),"",(C7-C9)/C8)</f>
        <v/>
      </c>
      <c r="C59" s="45" t="inlineStr">
        <is>
          <t>应计利润/资产</t>
        </is>
      </c>
      <c r="D59" s="46" t="n"/>
      <c r="E59" s="46" t="n"/>
      <c r="F59" s="47" t="n"/>
    </row>
    <row r="60" ht="20" customHeight="1" s="42">
      <c r="A60" s="2" t="inlineStr">
        <is>
          <t>LVGI</t>
        </is>
      </c>
      <c r="B60" s="83">
        <f>IF(OR(B18="",B8="",B8=0,C18="",C8="",C8=0),"",(C18/C8)/(B18/B8))</f>
        <v/>
      </c>
      <c r="C60" s="45" t="inlineStr">
        <is>
          <t>杠杆上升</t>
        </is>
      </c>
      <c r="D60" s="46" t="n"/>
      <c r="E60" s="46" t="n"/>
      <c r="F60" s="47" t="n"/>
    </row>
    <row r="62" ht="15" customHeight="1" s="42">
      <c r="A62" s="9" t="inlineStr">
        <is>
          <t>M-Score</t>
        </is>
      </c>
      <c r="B62" s="32">
        <f>IF(COUNT(B53:B60)&lt;6,"",-4.84+0.92*IF(B53="",0,B53)+0.528*IF(B54="",0,B54)+0.404*IF(B55="",0,B55)+0.892*IF(B56="",0,B56)+0.115*IF(B57="",0,B57)-0.172*IF(B58="",0,B58)+4.679*IF(B59="",0,B59)-0.327*IF(B60="",0,B60))</f>
        <v/>
      </c>
      <c r="C62" s="24">
        <f>IF(B62="","缺项",IF(B62&gt;-1.78,"警惕：疑似盈余操纵","未触发阈值"))</f>
        <v/>
      </c>
      <c r="D62" s="45" t="inlineStr">
        <is>
          <t>经典阈值 M &gt; -1.78。高增长易假阳性；安然也曾漏报，不能单靠它。</t>
        </is>
      </c>
      <c r="E62" s="46" t="n"/>
      <c r="F62" s="47" t="n"/>
    </row>
    <row r="64" ht="22.05" customHeight="1" s="42">
      <c r="A64" s="43" t="inlineStr">
        <is>
          <t>给封面用的输出锚点（勿改）</t>
        </is>
      </c>
    </row>
    <row r="65" ht="15" customHeight="1" s="42">
      <c r="A65" s="34" t="inlineStr">
        <is>
          <t>F_SCORE</t>
        </is>
      </c>
      <c r="B65" s="15">
        <f>B40</f>
        <v/>
      </c>
    </row>
    <row r="66" ht="15" customHeight="1" s="42">
      <c r="A66" s="34" t="inlineStr">
        <is>
          <t>Z_SCORE</t>
        </is>
      </c>
      <c r="B66" s="16">
        <f>B49</f>
        <v/>
      </c>
    </row>
    <row r="67" ht="15" customHeight="1" s="42">
      <c r="A67" s="34" t="inlineStr">
        <is>
          <t>M_SCORE</t>
        </is>
      </c>
      <c r="B67" s="16">
        <f>B62</f>
        <v/>
      </c>
    </row>
  </sheetData>
  <mergeCells count="51">
    <mergeCell ref="D13:F13"/>
    <mergeCell ref="D11:F11"/>
    <mergeCell ref="D32:F32"/>
    <mergeCell ref="D17:F17"/>
    <mergeCell ref="D7:F7"/>
    <mergeCell ref="A26:F26"/>
    <mergeCell ref="A3:F3"/>
    <mergeCell ref="C57:F57"/>
    <mergeCell ref="D16:F16"/>
    <mergeCell ref="B27:F27"/>
    <mergeCell ref="A2:F2"/>
    <mergeCell ref="C53:F53"/>
    <mergeCell ref="A42:F42"/>
    <mergeCell ref="D37:F37"/>
    <mergeCell ref="A5:F5"/>
    <mergeCell ref="D62:F62"/>
    <mergeCell ref="D12:F12"/>
    <mergeCell ref="D18:F18"/>
    <mergeCell ref="D9:F9"/>
    <mergeCell ref="D30:F30"/>
    <mergeCell ref="D39:F39"/>
    <mergeCell ref="C58:F58"/>
    <mergeCell ref="D15:F15"/>
    <mergeCell ref="A29:F29"/>
    <mergeCell ref="D33:F33"/>
    <mergeCell ref="D8:F8"/>
    <mergeCell ref="D24:F24"/>
    <mergeCell ref="D38:F38"/>
    <mergeCell ref="D14:F14"/>
    <mergeCell ref="E6:F6"/>
    <mergeCell ref="D23:F23"/>
    <mergeCell ref="D35:F35"/>
    <mergeCell ref="C54:F54"/>
    <mergeCell ref="C55:F55"/>
    <mergeCell ref="A64:F64"/>
    <mergeCell ref="D34:F34"/>
    <mergeCell ref="D10:F10"/>
    <mergeCell ref="A51:F51"/>
    <mergeCell ref="D19:F19"/>
    <mergeCell ref="C56:F56"/>
    <mergeCell ref="D31:F31"/>
    <mergeCell ref="C43:F43"/>
    <mergeCell ref="A1:F1"/>
    <mergeCell ref="D22:F22"/>
    <mergeCell ref="D40:F40"/>
    <mergeCell ref="D36:F36"/>
    <mergeCell ref="C59:F59"/>
    <mergeCell ref="D52:F52"/>
    <mergeCell ref="D21:F21"/>
    <mergeCell ref="C60:F60"/>
    <mergeCell ref="D49:F49"/>
  </mergeCells>
  <dataValidations count="1">
    <dataValidation sqref="B43" showDropDown="0" showInputMessage="0" showErrorMessage="0" allowBlank="1" errorTitle="无效输入" error="请从下拉列表选择" promptTitle="填写" prompt="从列表选择" type="list">
      <formula1>"原版制造业,非制造/新兴"</formula1>
    </dataValidation>
  </dataValidations>
  <printOptions horizontalCentered="1"/>
  <pageMargins left="0.5" right="0.5" top="0.6" bottom="0.6" header="0.5" footer="0.5"/>
  <pageSetup orientation="portrait" paperSize="9" fitToHeight="0"/>
</worksheet>
</file>

<file path=xl/worksheets/sheet6.xml><?xml version="1.0" encoding="utf-8"?>
<worksheet xmlns="http://schemas.openxmlformats.org/spreadsheetml/2006/main">
  <sheetPr>
    <tabColor rgb="FF7030A0"/>
    <outlinePr summaryBelow="1" summaryRight="1"/>
    <pageSetUpPr fitToPage="1"/>
  </sheetPr>
  <dimension ref="A1:F41"/>
  <sheetViews>
    <sheetView showGridLines="0" workbookViewId="0">
      <pane ySplit="1" topLeftCell="A2" activePane="bottomLeft" state="frozen"/>
      <selection pane="bottomLeft" activeCell="A1" sqref="A1"/>
    </sheetView>
  </sheetViews>
  <sheetFormatPr baseColWidth="8" defaultRowHeight="13.5"/>
  <cols>
    <col width="18" customWidth="1" style="42" min="1" max="1"/>
    <col width="16" customWidth="1" style="42" min="2" max="5"/>
    <col width="28" customWidth="1" style="42" min="6" max="6"/>
  </cols>
  <sheetData>
    <row r="1" ht="28.05" customHeight="1" s="42">
      <c r="A1" s="53" t="inlineStr">
        <is>
          <t>护城河与估值  ·  给区间，不给神预测</t>
        </is>
      </c>
      <c r="B1" s="46" t="n"/>
      <c r="C1" s="46" t="n"/>
      <c r="D1" s="46" t="n"/>
      <c r="E1" s="46" t="n"/>
      <c r="F1" s="47" t="n"/>
    </row>
    <row r="2">
      <c r="A2" s="58">
        <f>"标的："&amp;IF(封面!B5="","（先填封面）",封面!B5&amp;"  现价 "&amp;TEXT(封面!B9,"#,##0.00")&amp;封面!B10)</f>
        <v/>
      </c>
      <c r="B2" s="46" t="n"/>
      <c r="C2" s="46" t="n"/>
      <c r="D2" s="46" t="n"/>
      <c r="E2" s="46" t="n"/>
      <c r="F2" s="47" t="n"/>
    </row>
    <row r="3" ht="36" customHeight="1" s="42">
      <c r="A3" s="49" t="inlineStr">
        <is>
          <t>相对估值看分位和同行；绝对估值用三情景。黄格填假设。隐含价格默认 = 情景EPS × 情景PE，也可直接覆盖「隐含价格」。</t>
        </is>
      </c>
    </row>
    <row r="5" ht="22.05" customHeight="1" s="42">
      <c r="A5" s="43" t="inlineStr">
        <is>
          <t>A. 护城河（Morningstar 五源，可多选）</t>
        </is>
      </c>
    </row>
    <row r="6" ht="22.05" customHeight="1" s="42">
      <c r="A6" s="51" t="inlineStr">
        <is>
          <t>来源</t>
        </is>
      </c>
      <c r="B6" s="51" t="inlineStr">
        <is>
          <t>有/无/弱</t>
        </is>
      </c>
      <c r="C6" s="51" t="inlineStr">
        <is>
          <t>证据（财务或业务）</t>
        </is>
      </c>
      <c r="D6" s="47" t="n"/>
      <c r="E6" s="51" t="n"/>
      <c r="F6" s="47" t="n"/>
    </row>
    <row r="7" ht="24" customHeight="1" s="42">
      <c r="A7" s="9" t="inlineStr">
        <is>
          <t>无形资产（品牌/专利/牌照）</t>
        </is>
      </c>
      <c r="B7" s="63" t="inlineStr">
        <is>
          <t>有</t>
        </is>
      </c>
      <c r="C7" s="63" t="inlineStr">
        <is>
          <t>x86授权、EPYC和Instinct产品、赛灵思带来的嵌入式组合，是无形资产。2025年数据中心收入166亿美元，同比增32%。溢价能否维持，要看下一代GPU份额，这次没有新的份额审计数字。</t>
        </is>
      </c>
      <c r="D7" s="47" t="n"/>
      <c r="E7" s="45" t="inlineStr">
        <is>
          <t>溢价能否维持、续期/诉讼</t>
        </is>
      </c>
      <c r="F7" s="47" t="n"/>
    </row>
    <row r="8" ht="24" customHeight="1" s="42">
      <c r="A8" s="9" t="inlineStr">
        <is>
          <t>转换成本</t>
        </is>
      </c>
      <c r="B8" s="63" t="inlineStr">
        <is>
          <t>弱</t>
        </is>
      </c>
      <c r="C8" s="63" t="inlineStr">
        <is>
          <t>服务器平台有切换成本，但云厂商可以同时买别家加速器。业绩稿没有给出续约率。</t>
        </is>
      </c>
      <c r="D8" s="47" t="n"/>
      <c r="E8" s="45" t="inlineStr">
        <is>
          <t>续约率、churn、客户集中度</t>
        </is>
      </c>
      <c r="F8" s="47" t="n"/>
    </row>
    <row r="9" ht="24" customHeight="1" s="42">
      <c r="A9" s="9" t="inlineStr">
        <is>
          <t>网络效应</t>
        </is>
      </c>
      <c r="B9" s="63" t="inlineStr">
        <is>
          <t>无</t>
        </is>
      </c>
      <c r="C9" s="63" t="inlineStr">
        <is>
          <t>芯片不是双边网络。开发者生态是无形资产，不另算成网络效应。</t>
        </is>
      </c>
      <c r="D9" s="47" t="n"/>
      <c r="E9" s="45" t="inlineStr">
        <is>
          <t>双边增长是否还在加速</t>
        </is>
      </c>
      <c r="F9" s="47" t="n"/>
    </row>
    <row r="10" ht="24" customHeight="1" s="42">
      <c r="A10" s="9" t="inlineStr">
        <is>
          <t>成本优势</t>
        </is>
      </c>
      <c r="B10" s="63" t="inlineStr">
        <is>
          <t>弱</t>
        </is>
      </c>
      <c r="C10" s="63" t="inlineStr">
        <is>
          <t>GAAP毛利率0.4952。这是产品和结构，不是相对英伟达的成本领先。要闻没有写因此新增的代工配额。</t>
        </is>
      </c>
      <c r="D10" s="47" t="n"/>
      <c r="E10" s="45" t="inlineStr">
        <is>
          <t>单位成本 vs 同行、产能利用率</t>
        </is>
      </c>
      <c r="F10" s="47" t="n"/>
    </row>
    <row r="11" ht="24" customHeight="1" s="42">
      <c r="A11" s="9" t="inlineStr">
        <is>
          <t>有效规模（利基）</t>
        </is>
      </c>
      <c r="B11" s="63" t="inlineStr">
        <is>
          <t>无</t>
        </is>
      </c>
      <c r="C11" s="63" t="inlineStr">
        <is>
          <t>数据中心加速器不是利基市场。新进入者和在位者都在扩产。</t>
        </is>
      </c>
      <c r="D11" s="47" t="n"/>
      <c r="E11" s="45" t="inlineStr">
        <is>
          <t>新进入者是否长期亏钱</t>
        </is>
      </c>
      <c r="F11" s="47" t="n"/>
    </row>
    <row r="12" ht="14.65" customHeight="1" s="42">
      <c r="A12" s="9" t="inlineStr">
        <is>
          <t>定量锚</t>
        </is>
      </c>
      <c r="B12" s="63" t="inlineStr">
        <is>
          <t>2025年自算ROIC约0.0558。没有可靠的WACC，不能写成持续高于资本成本。商誉251亿美元压低会计回报。再投资能否继续获得超额回报，未被这笔ROIC证明。</t>
        </is>
      </c>
      <c r="C12" s="46" t="n"/>
      <c r="D12" s="46" t="n"/>
      <c r="E12" s="46" t="n"/>
      <c r="F12" s="47" t="n"/>
    </row>
    <row r="14" ht="22.05" customHeight="1" s="42">
      <c r="A14" s="43" t="inlineStr">
        <is>
          <t>B. 相对估值</t>
        </is>
      </c>
    </row>
    <row r="15" ht="22.05" customHeight="1" s="42">
      <c r="A15" s="51" t="inlineStr">
        <is>
          <t>倍数</t>
        </is>
      </c>
      <c r="B15" s="51" t="inlineStr">
        <is>
          <t>当前</t>
        </is>
      </c>
      <c r="C15" s="51" t="inlineStr">
        <is>
          <t>自身 5 年中位</t>
        </is>
      </c>
      <c r="D15" s="51" t="inlineStr">
        <is>
          <t>同行中位</t>
        </is>
      </c>
      <c r="E15" s="51" t="inlineStr">
        <is>
          <t>分位含义</t>
        </is>
      </c>
      <c r="F15" s="51" t="inlineStr">
        <is>
          <t>更适合</t>
        </is>
      </c>
    </row>
    <row r="16" ht="15" customHeight="1" s="42">
      <c r="A16" s="9" t="inlineStr">
        <is>
          <t>PE</t>
        </is>
      </c>
      <c r="B16" s="84" t="n">
        <v>156.26</v>
      </c>
      <c r="C16" s="84" t="n"/>
      <c r="D16" s="84" t="n"/>
      <c r="E16" s="24">
        <f>IF(OR(B16="",C16=""),"",IF(B16&gt;C16,"高于自身中位","不高于自身中位"))</f>
        <v/>
      </c>
      <c r="F16" s="45" t="inlineStr">
        <is>
          <t>成长股、盈利稳定</t>
        </is>
      </c>
    </row>
    <row r="17" ht="15" customHeight="1" s="42">
      <c r="A17" s="9" t="inlineStr">
        <is>
          <t>PB</t>
        </is>
      </c>
      <c r="B17" s="84" t="n">
        <v>15.75</v>
      </c>
      <c r="C17" s="35" t="n"/>
      <c r="D17" s="35" t="n"/>
      <c r="E17" s="24">
        <f>IF(OR(B17="",C17=""),"",IF(B17&gt;C17,"高于自身中位","不高于自身中位"))</f>
        <v/>
      </c>
      <c r="F17" s="45" t="inlineStr">
        <is>
          <t>银行、周期、重资产</t>
        </is>
      </c>
    </row>
    <row r="18" ht="15" customHeight="1" s="42">
      <c r="A18" s="9" t="inlineStr">
        <is>
          <t>PEG</t>
        </is>
      </c>
      <c r="B18" s="35" t="n"/>
      <c r="C18" s="35" t="n"/>
      <c r="D18" s="35" t="n"/>
      <c r="E18" s="24">
        <f>IF(OR(B18="",C18=""),"",IF(B18&gt;C18,"高于自身中位","不高于自身中位"))</f>
        <v/>
      </c>
      <c r="F18" s="45" t="inlineStr">
        <is>
          <t>高增长</t>
        </is>
      </c>
    </row>
    <row r="19" ht="15" customHeight="1" s="42">
      <c r="A19" s="9" t="inlineStr">
        <is>
          <t>EV/EBITDA</t>
        </is>
      </c>
      <c r="B19" s="84" t="n">
        <v>135.4</v>
      </c>
      <c r="C19" s="35" t="n"/>
      <c r="D19" s="35" t="n"/>
      <c r="E19" s="24">
        <f>IF(OR(B19="",C19=""),"",IF(B19&gt;C19,"高于自身中位","不高于自身中位"))</f>
        <v/>
      </c>
      <c r="F19" s="45" t="inlineStr">
        <is>
          <t>资本密集、杠杆不同的同行</t>
        </is>
      </c>
    </row>
    <row r="20" ht="15" customHeight="1" s="42">
      <c r="A20" s="9" t="inlineStr">
        <is>
          <t>EV/Sales</t>
        </is>
      </c>
      <c r="B20" s="84" t="n">
        <v>28.44</v>
      </c>
      <c r="C20" s="35" t="n"/>
      <c r="D20" s="35" t="n"/>
      <c r="E20" s="24">
        <f>IF(OR(B20="",C20=""),"",IF(B20&gt;C20,"高于自身中位","不高于自身中位"))</f>
        <v/>
      </c>
      <c r="F20" s="45" t="inlineStr">
        <is>
          <t>尚未稳定盈利</t>
        </is>
      </c>
    </row>
    <row r="21" ht="15" customHeight="1" s="42">
      <c r="A21" s="9" t="inlineStr">
        <is>
          <t>FCF Yield</t>
        </is>
      </c>
      <c r="B21" s="84" t="n">
        <v>0.0056</v>
      </c>
      <c r="C21" s="35" t="n"/>
      <c r="D21" s="35" t="n"/>
      <c r="E21" s="24">
        <f>IF(OR(B21="",C21=""),"",IF(B21&gt;C21,"高于自身中位","不高于自身中位"))</f>
        <v/>
      </c>
      <c r="F21" s="45" t="inlineStr">
        <is>
          <t>自由现金流可见的公司</t>
        </is>
      </c>
    </row>
    <row r="23" ht="22.05" customHeight="1" s="42">
      <c r="A23" s="43" t="inlineStr">
        <is>
          <t>C. 三情景（绝对/相对混合）</t>
        </is>
      </c>
    </row>
    <row r="24" ht="22.05" customHeight="1" s="42">
      <c r="A24" s="51" t="inlineStr">
        <is>
          <t>情景</t>
        </is>
      </c>
      <c r="B24" s="51" t="inlineStr">
        <is>
          <t>概率</t>
        </is>
      </c>
      <c r="C24" s="51" t="inlineStr">
        <is>
          <t>EPS 或 FCF/股</t>
        </is>
      </c>
      <c r="D24" s="51" t="inlineStr">
        <is>
          <t>倍数 PE/EV</t>
        </is>
      </c>
      <c r="E24" s="51" t="inlineStr">
        <is>
          <t>隐含价格</t>
        </is>
      </c>
      <c r="F24" s="51" t="inlineStr">
        <is>
          <t>距现价</t>
        </is>
      </c>
    </row>
    <row r="25" ht="22.05" customHeight="1" s="42">
      <c r="A25" s="36" t="inlineStr">
        <is>
          <t>Bear</t>
        </is>
      </c>
      <c r="B25" s="80" t="n">
        <v>0.25</v>
      </c>
      <c r="C25" s="65" t="n">
        <v>3.89</v>
      </c>
      <c r="D25" s="85" t="n">
        <v>40</v>
      </c>
      <c r="E25" s="82">
        <f>IF(OR(C25="",D25=""),"",C25*D25)</f>
        <v/>
      </c>
      <c r="F25" s="78">
        <f>IF(OR(E25="",封面!B9="",封面!B9=0),"",E25/封面!B9-1)</f>
        <v/>
      </c>
    </row>
    <row r="26" ht="22.05" customHeight="1" s="42">
      <c r="A26" s="36" t="inlineStr">
        <is>
          <t>Base</t>
        </is>
      </c>
      <c r="B26" s="80" t="n">
        <v>0.5</v>
      </c>
      <c r="C26" s="65" t="n">
        <v>8</v>
      </c>
      <c r="D26" s="85" t="n">
        <v>35</v>
      </c>
      <c r="E26" s="82">
        <f>IF(OR(C26="",D26=""),"",C26*D26)</f>
        <v/>
      </c>
      <c r="F26" s="78">
        <f>IF(OR(E26="",封面!B9="",封面!B9=0),"",E26/封面!B9-1)</f>
        <v/>
      </c>
    </row>
    <row r="27" ht="22.05" customHeight="1" s="42">
      <c r="A27" s="36" t="inlineStr">
        <is>
          <t>Bull</t>
        </is>
      </c>
      <c r="B27" s="80" t="n">
        <v>0.25</v>
      </c>
      <c r="C27" s="65" t="n">
        <v>15.58</v>
      </c>
      <c r="D27" s="85" t="n">
        <v>40</v>
      </c>
      <c r="E27" s="82">
        <f>IF(OR(C27="",D27=""),"",C27*D27)</f>
        <v/>
      </c>
      <c r="F27" s="78">
        <f>IF(OR(E27="",封面!B9="",封面!B9=0),"",E27/封面!B9-1)</f>
        <v/>
      </c>
    </row>
    <row r="28" ht="15" customHeight="1" s="42">
      <c r="A28" s="9" t="inlineStr">
        <is>
          <t>Base 隐含价</t>
        </is>
      </c>
      <c r="B28" s="71">
        <f>E26</f>
        <v/>
      </c>
      <c r="C28" s="71">
        <f>E26</f>
        <v/>
      </c>
      <c r="D28" s="45" t="inlineStr">
        <is>
          <t>封面读取 C28</t>
        </is>
      </c>
    </row>
    <row r="29" ht="15" customHeight="1" s="42">
      <c r="A29" s="9" t="inlineStr">
        <is>
          <t>概率加权价</t>
        </is>
      </c>
      <c r="B29" s="82">
        <f>IF(ABS(SUM(B25:B27)-1)&gt;0.02,"请检查概率合计=100%",IF(COUNT(E25:E27)&lt;3,"",SUMPRODUCT(B25:B27,E25:E27)))</f>
        <v/>
      </c>
      <c r="C29" s="71">
        <f>B29</f>
        <v/>
      </c>
    </row>
    <row r="30" ht="15" customHeight="1" s="42">
      <c r="A30" s="9" t="inlineStr">
        <is>
          <t>期望价 vs 现价</t>
        </is>
      </c>
      <c r="B30" s="78">
        <f>IF(OR(B29="",封面!B9="",封面!B9=0),"",B29/封面!B9-1)</f>
        <v/>
      </c>
      <c r="C30" s="72">
        <f>B30</f>
        <v/>
      </c>
    </row>
    <row r="31" ht="15" customHeight="1" s="42">
      <c r="A31" s="9" t="inlineStr">
        <is>
          <t>估值区间文本</t>
        </is>
      </c>
      <c r="B31" s="24">
        <f>IF(COUNT(E25:E27)&lt;3,"未完成",TEXT(MIN(E25:E27),"#,##0.00")&amp;" ~ "&amp;TEXT(MAX(E25:E27),"#,##0.00")&amp;" "&amp;封面!B10)</f>
        <v/>
      </c>
      <c r="C31" s="58">
        <f>B31</f>
        <v/>
      </c>
      <c r="D31" s="45" t="inlineStr">
        <is>
          <t>封面读取 C31。可把 E 列改成你的 DCF 价格（直接覆盖公式）。</t>
        </is>
      </c>
      <c r="E31" s="46" t="n"/>
      <c r="F31" s="47" t="n"/>
    </row>
    <row r="33" ht="22.05" customHeight="1" s="42">
      <c r="A33" s="43" t="inlineStr">
        <is>
          <t>D. 市场共识 vs 我的分歧</t>
        </is>
      </c>
    </row>
    <row r="34" ht="22.05" customHeight="1" s="42">
      <c r="A34" s="51" t="inlineStr">
        <is>
          <t>项目</t>
        </is>
      </c>
      <c r="B34" s="51" t="inlineStr">
        <is>
          <t>市场隐含 / 一致预期</t>
        </is>
      </c>
      <c r="C34" s="51" t="inlineStr">
        <is>
          <t>我的预期</t>
        </is>
      </c>
      <c r="D34" s="51" t="inlineStr">
        <is>
          <t>历史分位 / base rate</t>
        </is>
      </c>
      <c r="E34" s="51" t="inlineStr">
        <is>
          <t>净预期差</t>
        </is>
      </c>
      <c r="F34" s="51" t="inlineStr">
        <is>
          <t>来源</t>
        </is>
      </c>
    </row>
    <row r="35" ht="24" customHeight="1" s="42">
      <c r="A35" s="9" t="inlineStr">
        <is>
          <t>明年收入增速</t>
        </is>
      </c>
      <c r="B35" s="63" t="inlineStr">
        <is>
          <t>雅虎一致预期摊薄每股收益15.58美元。按9月28日收盘607.87美元自算，前瞻市盈率39.02倍。分析师约50人，目标价均值618.51美元。这些取自9月29日盘中的雅虎页面，不是公司指引，也不是9月29日收盘。</t>
        </is>
      </c>
      <c r="C35" s="63" t="inlineStr">
        <is>
          <t>基准每股收益8.00美元。它高于TTM的3.89美元，低于一致预期15.58美元。这是假设，不包含World Labs的订单，因为新闻稿没有订单。</t>
        </is>
      </c>
      <c r="D35" s="63" t="inlineStr">
        <is>
          <t>2025年收入同比0.343。五年市盈率中位：待查。</t>
        </is>
      </c>
      <c r="E35" s="63" t="inlineStr">
        <is>
          <t>我不接受把15.58美元当成已经锁定的明年盈利。</t>
        </is>
      </c>
      <c r="F35" s="63" t="inlineStr">
        <is>
          <t>雅虎forwardEps与目标价；AMD业绩稿；2026-09-29要闻。</t>
        </is>
      </c>
    </row>
    <row r="36" ht="24" customHeight="1" s="42">
      <c r="A36" s="9" t="inlineStr">
        <is>
          <t>利润率</t>
        </is>
      </c>
      <c r="B36" s="63" t="inlineStr">
        <is>
          <t>2025年GAAP毛利率0.50，非GAAP毛利率0.52。市场用成长股倍数，不是用0.50的毛利率单独定价。</t>
        </is>
      </c>
      <c r="C36" s="63" t="inlineStr">
        <is>
          <t>基准不假设GAAP毛利率升到0.52以上。</t>
        </is>
      </c>
      <c r="D36" s="63" t="inlineStr">
        <is>
          <t>GAAP毛利率从2023年0.4612升到2025年0.4952。</t>
        </is>
      </c>
      <c r="E36" s="63" t="inlineStr">
        <is>
          <t>利润率不是我额外乐观的地方。</t>
        </is>
      </c>
      <c r="F36" s="63" t="inlineStr">
        <is>
          <t>2026-02-03业绩稿。</t>
        </is>
      </c>
    </row>
    <row r="37" ht="24" customHeight="1" s="42">
      <c r="A37" s="9" t="inlineStr">
        <is>
          <t>FCF / 派息</t>
        </is>
      </c>
      <c r="B37" s="63" t="inlineStr">
        <is>
          <t>2025年自由现金流55.19亿美元，对9923亿美元市值的收益率约0.0056。</t>
        </is>
      </c>
      <c r="C37" s="63" t="inlineStr">
        <is>
          <t>基准不假设收购交割后资本开支下降。</t>
        </is>
      </c>
      <c r="D37" s="63" t="inlineStr">
        <is>
          <t>自由现金流2023年11.21亿美元，2024年24.05亿美元，2025年55.19亿美元。</t>
        </is>
      </c>
      <c r="E37" s="63" t="inlineStr">
        <is>
          <t>现金在增加，但收益率还盖不住156倍的TTM市盈率。</t>
        </is>
      </c>
      <c r="F37" s="63" t="inlineStr">
        <is>
          <t>业绩稿自由现金流；市值自算。</t>
        </is>
      </c>
    </row>
    <row r="38" ht="24" customHeight="1" s="42">
      <c r="A38" s="9" t="inlineStr">
        <is>
          <t>竞争格局</t>
        </is>
      </c>
      <c r="B38" s="63" t="inlineStr">
        <is>
          <t>收购被写成空间智能和芯片路线图的结合。</t>
        </is>
      </c>
      <c r="C38" s="63" t="inlineStr">
        <is>
          <t>要闻写明：约82亿美元是全股票约数，股数未公布，没有新的芯片订单，交割前实验室与芯片业务分开。</t>
        </is>
      </c>
      <c r="D38" s="63" t="inlineStr">
        <is>
          <t>数据中心收入2025年已经增长32%，那是已实现的，不是这份协议。</t>
        </is>
      </c>
      <c r="E38" s="63" t="inlineStr">
        <is>
          <t>协议文本强于可核对的增厚每股收益。</t>
        </is>
      </c>
      <c r="F38" s="63" t="inlineStr">
        <is>
          <t>2026-09-29要闻焦点一。</t>
        </is>
      </c>
    </row>
    <row r="39" ht="24" customHeight="1" s="42">
      <c r="A39" s="9" t="inlineStr">
        <is>
          <t>倍数/折现率</t>
        </is>
      </c>
      <c r="B39" s="63" t="inlineStr">
        <is>
          <t>TTM市盈率156.26倍，用607.87除以3.89。前瞻约39倍。</t>
        </is>
      </c>
      <c r="C39" s="63" t="inlineStr">
        <is>
          <t>基准8.00美元乘以35倍，等于280美元。熊市3.89美元乘以40倍，等于155.60美元。牛市15.58美元乘以40倍，等于623.20美元。</t>
        </is>
      </c>
      <c r="D39" s="63" t="inlineStr">
        <is>
          <t>自身五年中位：待查。52周低点雅虎写159.33美元，熊市价155.60美元靠近这个低点，不是另造的一个价格。</t>
        </is>
      </c>
      <c r="E39" s="63" t="inlineStr">
        <is>
          <t>现价607.87美元高于基准价280美元，也高于概率加权价334.70美元。</t>
        </is>
      </c>
      <c r="F39" s="63" t="inlineStr">
        <is>
          <t>情景倍数是假设，不是公司指引。</t>
        </is>
      </c>
    </row>
    <row r="41" ht="36" customHeight="1" s="42">
      <c r="A41" s="49" t="inlineStr">
        <is>
          <t>非金融深 DCF 可用 Damodaran fcffsimpleginzu.xlsx；金融用 divginzu.xlsx。本表只要求三情景价格，不强制完整 DCF。</t>
        </is>
      </c>
    </row>
  </sheetData>
  <mergeCells count="22">
    <mergeCell ref="A41:F41"/>
    <mergeCell ref="C6:D6"/>
    <mergeCell ref="A3:F3"/>
    <mergeCell ref="E8:F8"/>
    <mergeCell ref="A2:F2"/>
    <mergeCell ref="A33:F33"/>
    <mergeCell ref="B12:F12"/>
    <mergeCell ref="C10:D10"/>
    <mergeCell ref="E10:F10"/>
    <mergeCell ref="A14:F14"/>
    <mergeCell ref="A5:F5"/>
    <mergeCell ref="A23:F23"/>
    <mergeCell ref="C9:D9"/>
    <mergeCell ref="E9:F9"/>
    <mergeCell ref="E6:F6"/>
    <mergeCell ref="C11:D11"/>
    <mergeCell ref="E11:F11"/>
    <mergeCell ref="C8:D8"/>
    <mergeCell ref="C7:D7"/>
    <mergeCell ref="E7:F7"/>
    <mergeCell ref="D31:F31"/>
    <mergeCell ref="A1:F1"/>
  </mergeCells>
  <dataValidations count="1">
    <dataValidation sqref="B7:B11" showDropDown="0" showInputMessage="0" showErrorMessage="0" allowBlank="1" errorTitle="无效输入" error="请从下拉列表选择" promptTitle="填写" prompt="从列表选择" type="list">
      <formula1>"有,弱,无,待判"</formula1>
    </dataValidation>
  </dataValidations>
  <printOptions horizontalCentered="1"/>
  <pageMargins left="0.5" right="0.5" top="0.6" bottom="0.6" header="0.5" footer="0.5"/>
  <pageSetup orientation="portrait" paperSize="9" fitToHeight="0"/>
</worksheet>
</file>

<file path=xl/worksheets/sheet7.xml><?xml version="1.0" encoding="utf-8"?>
<worksheet xmlns="http://schemas.openxmlformats.org/spreadsheetml/2006/main">
  <sheetPr>
    <tabColor rgb="FFBF8F00"/>
    <outlinePr summaryBelow="1" summaryRight="1"/>
    <pageSetUpPr fitToPage="1"/>
  </sheetPr>
  <dimension ref="A1:F23"/>
  <sheetViews>
    <sheetView showGridLines="0" workbookViewId="0">
      <pane ySplit="1" topLeftCell="A2" activePane="bottomLeft" state="frozen"/>
      <selection pane="bottomLeft" activeCell="A1" sqref="A1"/>
    </sheetView>
  </sheetViews>
  <sheetFormatPr baseColWidth="8" defaultRowHeight="13.5"/>
  <cols>
    <col width="16" customWidth="1" style="42" min="1" max="1"/>
    <col width="28" customWidth="1" style="42" min="2" max="2"/>
    <col width="22" customWidth="1" style="42" min="3" max="3"/>
    <col width="28" customWidth="1" style="42" min="4" max="4"/>
    <col width="22" customWidth="1" style="42" min="5" max="5"/>
    <col width="24" customWidth="1" style="42" min="6" max="6"/>
  </cols>
  <sheetData>
    <row r="1" ht="28.05" customHeight="1" s="42">
      <c r="A1" s="53" t="inlineStr">
        <is>
          <t>情绪与预期差  ·  读预期，不追热度</t>
        </is>
      </c>
      <c r="B1" s="46" t="n"/>
      <c r="C1" s="46" t="n"/>
      <c r="D1" s="46" t="n"/>
      <c r="E1" s="46" t="n"/>
      <c r="F1" s="47" t="n"/>
    </row>
    <row r="2">
      <c r="A2" s="58">
        <f>"标的："&amp;IF(封面!B5="","（先填封面）",封面!B5)</f>
        <v/>
      </c>
      <c r="B2" s="46" t="n"/>
      <c r="C2" s="46" t="n"/>
      <c r="D2" s="46" t="n"/>
      <c r="E2" s="46" t="n"/>
      <c r="F2" s="47" t="n"/>
    </row>
    <row r="3" ht="36" customHeight="1" s="42">
      <c r="A3" s="49" t="inlineStr">
        <is>
          <t>目标：当前价格计入了什么故事、谁在交易、拥挤后谁是对手盘。基本面好+情绪过热 → 等或减小仓。基本面差+情绪冰点 ≠ 自动买点。</t>
        </is>
      </c>
    </row>
    <row r="5" ht="22.05" customHeight="1" s="42">
      <c r="A5" s="43" t="inlineStr">
        <is>
          <t>四层情绪</t>
        </is>
      </c>
    </row>
    <row r="6" ht="22.05" customHeight="1" s="42">
      <c r="A6" s="51" t="inlineStr">
        <is>
          <t>层</t>
        </is>
      </c>
      <c r="B6" s="51" t="inlineStr">
        <is>
          <t>现在的样子（填写）</t>
        </is>
      </c>
      <c r="C6" s="51" t="inlineStr">
        <is>
          <t>拥挤度 热/中/冷</t>
        </is>
      </c>
      <c r="D6" s="51" t="inlineStr">
        <is>
          <t>拥挤时</t>
        </is>
      </c>
      <c r="E6" s="51" t="inlineStr">
        <is>
          <t>冷清时</t>
        </is>
      </c>
      <c r="F6" s="51" t="inlineStr">
        <is>
          <t>数据来源</t>
        </is>
      </c>
    </row>
    <row r="7" ht="36" customHeight="1" s="42">
      <c r="A7" s="9" t="inlineStr">
        <is>
          <t>新闻叙事</t>
        </is>
      </c>
      <c r="B7" s="63" t="inlineStr">
        <is>
          <t>过去30天的核心叙事是9月28日宣布以约82亿美元全股票收购World Labs。要闻没有把当天收盘写进条款。</t>
        </is>
      </c>
      <c r="C7" s="63" t="inlineStr">
        <is>
          <t>热</t>
        </is>
      </c>
      <c r="D7" s="60" t="inlineStr">
        <is>
          <t>标题同质、只有一个故事</t>
        </is>
      </c>
      <c r="E7" s="21" t="inlineStr">
        <is>
          <t>几乎没人写，或只剩例行公告</t>
        </is>
      </c>
      <c r="F7" s="63" t="inlineStr">
        <is>
          <t>2026-09-29要闻；AMD新闻稿、CNBC、World Labs博客。</t>
        </is>
      </c>
    </row>
    <row r="8" ht="36" customHeight="1" s="42">
      <c r="A8" s="9" t="inlineStr">
        <is>
          <t>社交与散户</t>
        </is>
      </c>
      <c r="B8" s="63" t="inlineStr">
        <is>
          <t>没有取到可靠的社交提及量。</t>
        </is>
      </c>
      <c r="C8" s="63" t="inlineStr">
        <is>
          <t>待查</t>
        </is>
      </c>
      <c r="D8" s="60" t="inlineStr">
        <is>
          <t>提及暴增且一边倒看多</t>
        </is>
      </c>
      <c r="E8" s="21" t="inlineStr">
        <is>
          <t>提及低、争议少、换手低</t>
        </is>
      </c>
      <c r="F8" s="63" t="inlineStr">
        <is>
          <t>社交提及量待查。</t>
        </is>
      </c>
    </row>
    <row r="9" ht="36" customHeight="1" s="42">
      <c r="A9" s="9" t="inlineStr">
        <is>
          <t>卖方与资金</t>
        </is>
      </c>
      <c r="B9" s="63" t="inlineStr">
        <is>
          <t>约50名分析师，目标价均值618.51美元，贴近9月28日收盘。一致预期每股收益15.58美元。</t>
        </is>
      </c>
      <c r="C9" s="63" t="inlineStr">
        <is>
          <t>热</t>
        </is>
      </c>
      <c r="D9" s="60" t="inlineStr">
        <is>
          <t>一致预期很高、上调扎堆</t>
        </is>
      </c>
      <c r="E9" s="21" t="inlineStr">
        <is>
          <t>覆盖少、目标价低于现价、机构在减</t>
        </is>
      </c>
      <c r="F9" s="63" t="inlineStr">
        <is>
          <t>雅虎，页面取于9月29日美股未收盘时。</t>
        </is>
      </c>
    </row>
    <row r="10" ht="36" customHeight="1" s="42">
      <c r="A10" s="9" t="inlineStr">
        <is>
          <t>期权与波动</t>
        </is>
      </c>
      <c r="B10" s="63" t="inlineStr">
        <is>
          <t>没有取到IV Rank或Put/Call。9月28日成交额约133.70亿美元，20个交易日日均成交额约119.98亿美元。</t>
        </is>
      </c>
      <c r="C10" s="63" t="inlineStr">
        <is>
          <t>待查</t>
        </is>
      </c>
      <c r="D10" s="60" t="inlineStr">
        <is>
          <t>IV 极高、看涨期权拥挤</t>
        </is>
      </c>
      <c r="E10" s="21" t="inlineStr">
        <is>
          <t>IV 处于自身低位；A 股用换手代替</t>
        </is>
      </c>
      <c r="F10" s="63" t="inlineStr">
        <is>
          <t>期权指标待查。成交额用雅虎9月28日及前19个交易日的收盘价乘成交量。</t>
        </is>
      </c>
    </row>
    <row r="12" ht="22.05" customHeight="1" s="42">
      <c r="A12" s="43" t="inlineStr">
        <is>
          <t>检查项</t>
        </is>
      </c>
    </row>
    <row r="13" ht="22.05" customHeight="1" s="42">
      <c r="A13" s="51" t="inlineStr">
        <is>
          <t>#</t>
        </is>
      </c>
      <c r="B13" s="51" t="inlineStr">
        <is>
          <t>检查项</t>
        </is>
      </c>
      <c r="C13" s="51" t="inlineStr">
        <is>
          <t>结论</t>
        </is>
      </c>
      <c r="D13" s="51" t="inlineStr">
        <is>
          <t>记录</t>
        </is>
      </c>
      <c r="E13" s="46" t="n"/>
      <c r="F13" s="47" t="n"/>
    </row>
    <row r="14" ht="28.05" customHeight="1" s="42">
      <c r="A14" s="2" t="inlineStr">
        <is>
          <t>1</t>
        </is>
      </c>
      <c r="B14" s="55" t="inlineStr">
        <is>
          <t>过去 30 天核心新闻已读，并能用一句话概括市场叙事</t>
        </is>
      </c>
      <c r="C14" s="63" t="inlineStr">
        <is>
          <t>是</t>
        </is>
      </c>
      <c r="D14" s="63" t="inlineStr">
        <is>
          <t>叙事一句：AMD签了约82亿美元的全股票收购，市场把它放进人工智能路线图。要闻写明股数和订单都还没有。</t>
        </is>
      </c>
      <c r="E14" s="46" t="n"/>
      <c r="F14" s="47" t="n"/>
    </row>
    <row r="15" ht="28.05" customHeight="1" s="42">
      <c r="A15" s="2" t="inlineStr">
        <is>
          <t>2</t>
        </is>
      </c>
      <c r="B15" s="55" t="inlineStr">
        <is>
          <t>查过一致预期 EPS / 目标价，并标出我和共识的分歧点</t>
        </is>
      </c>
      <c r="C15" s="63" t="inlineStr">
        <is>
          <t>是</t>
        </is>
      </c>
      <c r="D15" s="63" t="inlineStr">
        <is>
          <t>分歧在每股收益。一致预期15.58美元。我的基准是8.00美元，且不加收购订单。</t>
        </is>
      </c>
      <c r="E15" s="46" t="n"/>
      <c r="F15" s="47" t="n"/>
    </row>
    <row r="16" ht="28.05" customHeight="1" s="42">
      <c r="A16" s="2" t="inlineStr">
        <is>
          <t>3</t>
        </is>
      </c>
      <c r="B16" s="55" t="inlineStr">
        <is>
          <t>看过提及量或换手：热门拥挤还是乏人问津</t>
        </is>
      </c>
      <c r="C16" s="63" t="inlineStr">
        <is>
          <t>是</t>
        </is>
      </c>
      <c r="D16" s="63" t="inlineStr">
        <is>
          <t>复盘：近20日涨30.6%，9月28日跌3.61%至607.87美元，总市值约9923亿美元。当天不是大涨。纳指跌0.92%。</t>
        </is>
      </c>
      <c r="E16" s="46" t="n"/>
      <c r="F16" s="47" t="n"/>
    </row>
    <row r="17" ht="28.05" customHeight="1" s="42">
      <c r="A17" s="2" t="inlineStr">
        <is>
          <t>4</t>
        </is>
      </c>
      <c r="B17" s="55" t="inlineStr">
        <is>
          <t>看过机构/北向/融资或 13F 的方向，而不是单日资金颜色</t>
        </is>
      </c>
      <c r="C17" s="63" t="inlineStr">
        <is>
          <t>待查</t>
        </is>
      </c>
      <c r="D17" s="63" t="inlineStr">
        <is>
          <t>这次没有打开13F。不把单日涨跌写成机构方向。</t>
        </is>
      </c>
      <c r="E17" s="46" t="n"/>
      <c r="F17" s="47" t="n"/>
    </row>
    <row r="18" ht="28.05" customHeight="1" s="42">
      <c r="A18" s="2" t="inlineStr">
        <is>
          <t>5</t>
        </is>
      </c>
      <c r="B18" s="55" t="inlineStr">
        <is>
          <t>美股看 IV Rank、Put/Call；A 股用换手+涨跌停情绪代替</t>
        </is>
      </c>
      <c r="C18" s="63" t="inlineStr">
        <is>
          <t>待查</t>
        </is>
      </c>
      <c r="D18" s="63" t="inlineStr">
        <is>
          <t>IV Rank和Put/Call待查。成交额只用价格和成交量代替，不把它写成期权拥挤度。</t>
        </is>
      </c>
      <c r="E18" s="46" t="n"/>
      <c r="F18" s="47" t="n"/>
    </row>
    <row r="19" ht="28.05" customHeight="1" s="42">
      <c r="A19" s="2" t="inlineStr">
        <is>
          <t>6</t>
        </is>
      </c>
      <c r="B19" s="55" t="inlineStr">
        <is>
          <t>写清楚：市场已经定价了什么，我额外押的是什么</t>
        </is>
      </c>
      <c r="C19" s="63" t="inlineStr">
        <is>
          <t>是</t>
        </is>
      </c>
      <c r="D19" s="63" t="inlineStr">
        <is>
          <t>市场已定价数据中心增长和一份尚未交割的收购。我额外不押未披露的股数，也不押新闻稿里没有的订单。</t>
        </is>
      </c>
      <c r="E19" s="46" t="n"/>
      <c r="F19" s="47" t="n"/>
    </row>
    <row r="20" ht="22.05" customHeight="1" s="42">
      <c r="A20" s="9" t="inlineStr">
        <is>
          <t>市场已定价</t>
        </is>
      </c>
      <c r="B20" s="63" t="inlineStr">
        <is>
          <t>2025年收入增长34%、数据中心166亿美元，以及一份约82亿美元的全股票协议。TTM市盈率156倍。</t>
        </is>
      </c>
      <c r="C20" s="66" t="n"/>
      <c r="D20" s="66" t="n"/>
      <c r="E20" s="66" t="n"/>
      <c r="F20" s="67" t="n"/>
    </row>
    <row r="21" ht="22.05" customHeight="1" s="42">
      <c r="B21" s="68" t="n"/>
      <c r="C21" s="69" t="n"/>
      <c r="D21" s="69" t="n"/>
      <c r="E21" s="69" t="n"/>
      <c r="F21" s="70" t="n"/>
    </row>
    <row r="22" ht="22.05" customHeight="1" s="42">
      <c r="A22" s="9" t="inlineStr">
        <is>
          <t>我额外押的</t>
        </is>
      </c>
      <c r="B22" s="63" t="inlineStr">
        <is>
          <t>不下注收购增厚。下注的是否定项：在股数和订单写出来之前，607.87美元没有相对280美元基准价的安全垫。</t>
        </is>
      </c>
      <c r="C22" s="66" t="n"/>
      <c r="D22" s="66" t="n"/>
      <c r="E22" s="66" t="n"/>
      <c r="F22" s="67" t="n"/>
    </row>
    <row r="23" ht="22.05" customHeight="1" s="42">
      <c r="B23" s="68" t="n"/>
      <c r="C23" s="69" t="n"/>
      <c r="D23" s="69" t="n"/>
      <c r="E23" s="69" t="n"/>
      <c r="F23" s="70" t="n"/>
    </row>
  </sheetData>
  <mergeCells count="14">
    <mergeCell ref="B22:F23"/>
    <mergeCell ref="A2:F2"/>
    <mergeCell ref="D19:F19"/>
    <mergeCell ref="D13:F13"/>
    <mergeCell ref="D14:F14"/>
    <mergeCell ref="B20:F21"/>
    <mergeCell ref="A1:F1"/>
    <mergeCell ref="A5:F5"/>
    <mergeCell ref="D18:F18"/>
    <mergeCell ref="D17:F17"/>
    <mergeCell ref="A12:F12"/>
    <mergeCell ref="A3:F3"/>
    <mergeCell ref="D15:F15"/>
    <mergeCell ref="D16:F16"/>
  </mergeCells>
  <dataValidations count="2">
    <dataValidation sqref="C7:C10" showDropDown="0" showInputMessage="0" showErrorMessage="0" allowBlank="1" errorTitle="无效输入" error="请从下拉列表选择" promptTitle="填写" prompt="从列表选择" type="list">
      <formula1>"热,中,冷"</formula1>
    </dataValidation>
    <dataValidation sqref="C14:C19" showDropDown="0" showInputMessage="0" showErrorMessage="0" allowBlank="1" errorTitle="无效输入" error="请从下拉列表选择" promptTitle="填写" prompt="从列表选择" type="list">
      <formula1>"是,否,待查"</formula1>
    </dataValidation>
  </dataValidations>
  <printOptions horizontalCentered="1"/>
  <pageMargins left="0.5" right="0.5" top="0.6" bottom="0.6" header="0.5" footer="0.5"/>
  <pageSetup orientation="landscape" paperSize="9" fitToHeight="0"/>
</worksheet>
</file>

<file path=xl/worksheets/sheet8.xml><?xml version="1.0" encoding="utf-8"?>
<worksheet xmlns="http://schemas.openxmlformats.org/spreadsheetml/2006/main">
  <sheetPr>
    <tabColor rgb="FFC00000"/>
    <outlinePr summaryBelow="1" summaryRight="1"/>
    <pageSetUpPr fitToPage="1"/>
  </sheetPr>
  <dimension ref="A1:F40"/>
  <sheetViews>
    <sheetView showGridLines="0" workbookViewId="0">
      <pane ySplit="1" topLeftCell="A2" activePane="bottomLeft" state="frozen"/>
      <selection pane="bottomLeft" activeCell="A1" sqref="A1"/>
    </sheetView>
  </sheetViews>
  <sheetFormatPr baseColWidth="8" defaultRowHeight="13.5"/>
  <cols>
    <col width="18" customWidth="1" style="42" min="1" max="1"/>
    <col width="16" customWidth="1" style="42" min="2" max="2"/>
    <col width="18" customWidth="1" style="42" min="3" max="3"/>
    <col width="22" customWidth="1" style="42" min="4" max="5"/>
    <col width="28" customWidth="1" style="42" min="6" max="6"/>
  </cols>
  <sheetData>
    <row r="1" ht="28.05" customHeight="1" s="42">
      <c r="A1" s="53" t="inlineStr">
        <is>
          <t>风险与仓位  ·  先写证伪，再定量</t>
        </is>
      </c>
      <c r="B1" s="46" t="n"/>
      <c r="C1" s="46" t="n"/>
      <c r="D1" s="46" t="n"/>
      <c r="E1" s="46" t="n"/>
      <c r="F1" s="47" t="n"/>
    </row>
    <row r="2">
      <c r="A2" s="58">
        <f>"标的："&amp;IF(封面!B5="","（先填封面）",封面!B5&amp;"  现价 "&amp;TEXT(封面!B9,"#,##0.00"))</f>
        <v/>
      </c>
      <c r="B2" s="46" t="n"/>
      <c r="C2" s="46" t="n"/>
      <c r="D2" s="46" t="n"/>
      <c r="E2" s="46" t="n"/>
      <c r="F2" s="47" t="n"/>
    </row>
    <row r="3" ht="36" customHeight="1" s="42">
      <c r="A3" s="49" t="inlineStr">
        <is>
          <t>只保留会推翻论点的风险。仓位由波动和流动性决定，不由「有多看好」决定。保守账户单票风险预算常见 0.25%–1% 组合权益。</t>
        </is>
      </c>
    </row>
    <row r="5" ht="22.05" customHeight="1" s="42">
      <c r="A5" s="43" t="inlineStr">
        <is>
          <t>A. 仓位计算器</t>
        </is>
      </c>
    </row>
    <row r="6" ht="15" customHeight="1" s="42">
      <c r="A6" s="9" t="inlineStr">
        <is>
          <t>组合权益</t>
        </is>
      </c>
      <c r="B6" s="86" t="n">
        <v>1000000</v>
      </c>
      <c r="C6" s="45" t="inlineStr">
        <is>
          <t>你的可投资本金</t>
        </is>
      </c>
      <c r="D6" s="46" t="n"/>
      <c r="E6" s="46" t="n"/>
      <c r="F6" s="47" t="n"/>
    </row>
    <row r="7" ht="15" customHeight="1" s="42">
      <c r="A7" s="9" t="inlineStr">
        <is>
          <t>单票风险预算</t>
        </is>
      </c>
      <c r="B7" s="87" t="n">
        <v>0.005</v>
      </c>
      <c r="C7" s="45" t="inlineStr">
        <is>
          <t>亏到证伪时，最多亏组合的多少</t>
        </is>
      </c>
      <c r="D7" s="46" t="n"/>
      <c r="E7" s="46" t="n"/>
      <c r="F7" s="47" t="n"/>
    </row>
    <row r="8" ht="15" customHeight="1" s="42">
      <c r="A8" s="9" t="inlineStr">
        <is>
          <t>证伪跌幅</t>
        </is>
      </c>
      <c r="B8" s="80" t="n">
        <v>0.744</v>
      </c>
      <c r="C8" s="45" t="inlineStr">
        <is>
          <t>从现价到无效化的跌幅（正数）</t>
        </is>
      </c>
      <c r="D8" s="46" t="n"/>
      <c r="E8" s="46" t="n"/>
      <c r="F8" s="47" t="n"/>
    </row>
    <row r="9" ht="15" customHeight="1" s="42">
      <c r="A9" s="9" t="inlineStr">
        <is>
          <t>日均成交额</t>
        </is>
      </c>
      <c r="B9" s="86" t="n">
        <v>11989536184</v>
      </c>
      <c r="C9" s="45" t="inlineStr">
        <is>
          <t>与现价同一货币</t>
        </is>
      </c>
      <c r="D9" s="46" t="n"/>
      <c r="E9" s="46" t="n"/>
      <c r="F9" s="47" t="n"/>
    </row>
    <row r="10" ht="15" customHeight="1" s="42">
      <c r="A10" s="9" t="inlineStr">
        <is>
          <t>流动性占用上限</t>
        </is>
      </c>
      <c r="B10" s="80" t="n">
        <v>0.05</v>
      </c>
      <c r="C10" s="45" t="inlineStr">
        <is>
          <t>不超过日均成交的比例</t>
        </is>
      </c>
      <c r="D10" s="46" t="n"/>
      <c r="E10" s="46" t="n"/>
      <c r="F10" s="47" t="n"/>
    </row>
    <row r="12" ht="15" customHeight="1" s="42">
      <c r="A12" s="9" t="inlineStr">
        <is>
          <t>风险预算金额</t>
        </is>
      </c>
      <c r="B12" s="88">
        <f>IF(OR(B6="",B7=""),"",B6*B7)</f>
        <v/>
      </c>
      <c r="C12" s="45" t="inlineStr">
        <is>
          <t>权益 × 风险预算</t>
        </is>
      </c>
    </row>
    <row r="13" ht="24.75" customHeight="1" s="42">
      <c r="A13" s="9" t="inlineStr">
        <is>
          <t>波动反推仓位金额</t>
        </is>
      </c>
      <c r="B13" s="88">
        <f>IF(OR(B12="",B8="",B8=0),"",B12/B8)</f>
        <v/>
      </c>
      <c r="C13" s="45" t="inlineStr">
        <is>
          <t>风险预算金额 / 证伪跌幅</t>
        </is>
      </c>
    </row>
    <row r="14" ht="15" customHeight="1" s="42">
      <c r="A14" s="9" t="inlineStr">
        <is>
          <t>流动性上限金额</t>
        </is>
      </c>
      <c r="B14" s="88">
        <f>IF(OR(B9="",B10=""),"",B9*B10)</f>
        <v/>
      </c>
      <c r="C14" s="45" t="inlineStr">
        <is>
          <t>日均成交 × 占用上限</t>
        </is>
      </c>
    </row>
    <row r="15" ht="15" customHeight="1" s="42">
      <c r="A15" s="9" t="inlineStr">
        <is>
          <t>建议金额</t>
        </is>
      </c>
      <c r="B15" s="88">
        <f>IF(B13="",IF(B14="","",B14),IF(B14="",B13,MIN(B13,B14)))</f>
        <v/>
      </c>
      <c r="C15" s="73">
        <f>B15</f>
        <v/>
      </c>
      <c r="D15" s="45" t="inlineStr">
        <is>
          <t>封面读 C15</t>
        </is>
      </c>
    </row>
    <row r="16" ht="15" customHeight="1" s="42">
      <c r="A16" s="9" t="inlineStr">
        <is>
          <t>建议仓位上限</t>
        </is>
      </c>
      <c r="B16" s="78">
        <f>IF(OR(B15="",B6="",B6=0),"",B15/B6)</f>
        <v/>
      </c>
      <c r="C16" s="72">
        <f>B16</f>
        <v/>
      </c>
      <c r="D16" s="45" t="inlineStr">
        <is>
          <t>封面读 C16</t>
        </is>
      </c>
    </row>
    <row r="17" ht="15" customHeight="1" s="42">
      <c r="A17" s="9" t="inlineStr">
        <is>
          <t>建议股数</t>
        </is>
      </c>
      <c r="B17" s="88">
        <f>IF(OR(B15="",封面!B9="",封面!B9=0),"",B15/封面!B9)</f>
        <v/>
      </c>
    </row>
    <row r="19" ht="22.05" customHeight="1" s="42">
      <c r="A19" s="43" t="inlineStr">
        <is>
          <t>B. Pre-mortem（假设一年后失败）</t>
        </is>
      </c>
    </row>
    <row r="20" ht="22.05" customHeight="1" s="42">
      <c r="A20" s="51" t="inlineStr">
        <is>
          <t>#</t>
        </is>
      </c>
      <c r="B20" s="51" t="inlineStr">
        <is>
          <t>失败原因（至少一条打论点）</t>
        </is>
      </c>
      <c r="C20" s="51" t="inlineStr">
        <is>
          <t>当前证据</t>
        </is>
      </c>
      <c r="D20" s="51" t="inlineStr">
        <is>
          <t>监控指标</t>
        </is>
      </c>
      <c r="E20" s="51" t="inlineStr">
        <is>
          <t>触发后动作</t>
        </is>
      </c>
      <c r="F20" s="51" t="inlineStr">
        <is>
          <t>强度 高/中/低</t>
        </is>
      </c>
    </row>
    <row r="21" ht="36" customHeight="1" s="42">
      <c r="A21" s="2" t="inlineStr">
        <is>
          <t>1</t>
        </is>
      </c>
      <c r="B21" s="63" t="inlineStr">
        <is>
          <t>2026年盈利停在TTM附近，倍数从156倍压到更接近硬件公司的水平，价格回到熊市价155.60美元一带。</t>
        </is>
      </c>
      <c r="C21" s="63" t="inlineStr">
        <is>
          <t>9月28日收盘607.87美元。TTM摊薄每股收益3.89美元。52周低点雅虎写159.33美元。</t>
        </is>
      </c>
      <c r="D21" s="63" t="inlineStr">
        <is>
          <t>2026年GAAP摊薄每股收益。若低于4美元，视为增长假设失效。</t>
        </is>
      </c>
      <c r="E21" s="63" t="inlineStr">
        <is>
          <t>不在现价补仓。价格到280美元以下才重新看基准情景。</t>
        </is>
      </c>
      <c r="F21" s="63" t="inlineStr">
        <is>
          <t>高</t>
        </is>
      </c>
    </row>
    <row r="22" ht="36" customHeight="1" s="42">
      <c r="A22" s="2" t="inlineStr">
        <is>
          <t>2</t>
        </is>
      </c>
      <c r="B22" s="63" t="inlineStr">
        <is>
          <t>全股票收购披露的发行股数很大，但没有对应的芯片订单，每股收益被摊薄。</t>
        </is>
      </c>
      <c r="C22" s="63" t="inlineStr">
        <is>
          <t>要闻：约82亿美元，股数未公布，没有新订单，交割写在2026年年底前，且要监管批准。</t>
        </is>
      </c>
      <c r="D22" s="63" t="inlineStr">
        <is>
          <t>后续文件有没有单列发行股数。</t>
        </is>
      </c>
      <c r="E22" s="63" t="inlineStr">
        <is>
          <t>股数仍未披露，就不把协议写进盈利预测。</t>
        </is>
      </c>
      <c r="F22" s="63" t="inlineStr">
        <is>
          <t>高</t>
        </is>
      </c>
    </row>
    <row r="23" ht="36" customHeight="1" s="42">
      <c r="A23" s="2" t="inlineStr">
        <is>
          <t>3</t>
        </is>
      </c>
      <c r="B23" s="63" t="inlineStr">
        <is>
          <t>存货继续堆高，经营现金流盖不住备货。</t>
        </is>
      </c>
      <c r="C23" s="63" t="inlineStr">
        <is>
          <t>10-K写2025年存货增加约22亿美元，用于数据中心先进制程备货。存货期末79.20亿美元。</t>
        </is>
      </c>
      <c r="D23" s="63" t="inlineStr">
        <is>
          <t>存货和持续经营经营现金流。</t>
        </is>
      </c>
      <c r="E23" s="63" t="inlineStr">
        <is>
          <t>经营现金流掉到净利润以下，质量判断从通过改回观察。</t>
        </is>
      </c>
      <c r="F23" s="63" t="inlineStr">
        <is>
          <t>中</t>
        </is>
      </c>
    </row>
    <row r="25" ht="22.05" customHeight="1" s="42">
      <c r="A25" s="43" t="inlineStr">
        <is>
          <t>C. 交易预案</t>
        </is>
      </c>
    </row>
    <row r="26" ht="28.05" customHeight="1" s="42">
      <c r="A26" s="9" t="inlineStr">
        <is>
          <t>持有期</t>
        </is>
      </c>
      <c r="B26" s="63" t="inlineStr">
        <is>
          <t>12个月，看到收购股数有没有披露，以及2026年GAAP每股收益。</t>
        </is>
      </c>
      <c r="C26" s="46" t="n"/>
      <c r="D26" s="47" t="n"/>
      <c r="E26" s="45" t="inlineStr">
        <is>
          <t>例如 6–18 个月，事件驱动写到催化剂日</t>
        </is>
      </c>
      <c r="F26" s="47" t="n"/>
    </row>
    <row r="27" ht="28.05" customHeight="1" s="42">
      <c r="A27" s="9" t="inlineStr">
        <is>
          <t>建仓区间</t>
        </is>
      </c>
      <c r="B27" s="63" t="inlineStr">
        <is>
          <t>不在607.87美元买。建仓不高于基准价280美元，且发行股数已经在文件里单列。</t>
        </is>
      </c>
      <c r="C27" s="46" t="n"/>
      <c r="D27" s="47" t="n"/>
      <c r="E27" s="45" t="inlineStr">
        <is>
          <t>价格或估值分位，不要写「看着办」</t>
        </is>
      </c>
      <c r="F27" s="47" t="n"/>
    </row>
    <row r="28" ht="28.05" customHeight="1" s="42">
      <c r="A28" s="9" t="inlineStr">
        <is>
          <t>无效化 / 证伪</t>
        </is>
      </c>
      <c r="B28" s="63" t="inlineStr">
        <is>
          <t>基本面证伪：后续文件给出的发行股数对应的摊薄，使2026年GAAP每股收益低于4美元。价格补充位是熊市价155.60美元，跌幅约0.744。</t>
        </is>
      </c>
      <c r="C28" s="46" t="n"/>
      <c r="D28" s="47" t="n"/>
      <c r="E28" s="45" t="inlineStr">
        <is>
          <t>基本面事件优先；价格止损只作补充</t>
        </is>
      </c>
      <c r="F28" s="47" t="n"/>
    </row>
    <row r="29" ht="28.05" customHeight="1" s="42">
      <c r="A29" s="9" t="inlineStr">
        <is>
          <t>减仓 / 退出</t>
        </is>
      </c>
      <c r="B29" s="63" t="inlineStr">
        <is>
          <t>涨到牛市价623.20美元而每股收益没有达到15.58美元，不是买入理由。论点证伪则放弃等待中的建仓条件。</t>
        </is>
      </c>
      <c r="C29" s="46" t="n"/>
      <c r="D29" s="47" t="n"/>
      <c r="E29" s="45" t="inlineStr">
        <is>
          <t>论点兑现、估值到目标、或证伪触发</t>
        </is>
      </c>
      <c r="F29" s="47" t="n"/>
    </row>
    <row r="30" ht="28.05" customHeight="1" s="42">
      <c r="A30" s="9" t="inlineStr">
        <is>
          <t>下次复盘日</t>
        </is>
      </c>
      <c r="B30" s="63" t="inlineStr">
        <is>
          <t>下一份披露发行股数的文件，以及2026年年报。在此之前不把季度盘中价写成收盘。</t>
        </is>
      </c>
      <c r="C30" s="46" t="n"/>
      <c r="D30" s="47" t="n"/>
      <c r="E30" s="45" t="inlineStr">
        <is>
          <t>下次财报或某个领先指标阈值</t>
        </is>
      </c>
      <c r="F30" s="47" t="n"/>
    </row>
    <row r="31" ht="28.05" customHeight="1" s="42">
      <c r="A31" s="9" t="inlineStr">
        <is>
          <t>与现有持仓重叠</t>
        </is>
      </c>
      <c r="B31" s="63" t="inlineStr">
        <is>
          <t>与人工智能芯片和半导体资本开支重叠。若组合里已有高权重的加速器公司，0.67%上限还要再砍。</t>
        </is>
      </c>
      <c r="C31" s="46" t="n"/>
      <c r="D31" s="47" t="n"/>
      <c r="E31" s="45" t="inlineStr">
        <is>
          <t>行业 / 因子 / 单一客户</t>
        </is>
      </c>
      <c r="F31" s="47" t="n"/>
    </row>
    <row r="33" ht="22.05" customHeight="1" s="42">
      <c r="A33" s="43" t="inlineStr">
        <is>
          <t>D. 风险地图（只填会改变动作的）</t>
        </is>
      </c>
    </row>
    <row r="34" ht="22.05" customHeight="1" s="42">
      <c r="A34" s="51" t="inlineStr">
        <is>
          <t>类型</t>
        </is>
      </c>
      <c r="B34" s="51" t="inlineStr">
        <is>
          <t>是否相关</t>
        </is>
      </c>
      <c r="C34" s="51" t="inlineStr">
        <is>
          <t>具体内容</t>
        </is>
      </c>
      <c r="D34" s="51" t="inlineStr">
        <is>
          <t>监控指标</t>
        </is>
      </c>
      <c r="E34" s="51" t="inlineStr">
        <is>
          <t>仓位含义</t>
        </is>
      </c>
      <c r="F34" s="51" t="inlineStr">
        <is>
          <t>状态</t>
        </is>
      </c>
    </row>
    <row r="35" ht="26" customHeight="1" s="42">
      <c r="A35" s="9" t="inlineStr">
        <is>
          <t>经营</t>
        </is>
      </c>
      <c r="B35" s="63" t="inlineStr">
        <is>
          <t>是</t>
        </is>
      </c>
      <c r="C35" s="63" t="inlineStr">
        <is>
          <t>收入增长依赖数据中心。2025年该分部166亿美元、增32%不可外推成收购已经带来的订单。</t>
        </is>
      </c>
      <c r="D35" s="45" t="inlineStr">
        <is>
          <t>销量/ASP、毛利率、份额</t>
        </is>
      </c>
      <c r="E35" s="45" t="inlineStr">
        <is>
          <t>论点伤了就减或清</t>
        </is>
      </c>
      <c r="F35" s="63" t="inlineStr">
        <is>
          <t>观察</t>
        </is>
      </c>
    </row>
    <row r="36" ht="26" customHeight="1" s="42">
      <c r="A36" s="9" t="inlineStr">
        <is>
          <t>财务</t>
        </is>
      </c>
      <c r="B36" s="63" t="inlineStr">
        <is>
          <t>否</t>
        </is>
      </c>
      <c r="C36" s="63" t="inlineStr">
        <is>
          <t>现金105.52亿美元高于总债务32.22亿美元。利息费用1.31亿美元。财务杠杆不是先绑仓位的那一条。</t>
        </is>
      </c>
      <c r="D36" s="45" t="inlineStr">
        <is>
          <t>净负债、利息覆盖、FCF</t>
        </is>
      </c>
      <c r="E36" s="45" t="inlineStr">
        <is>
          <t>杠杆高则硬性缩小仓</t>
        </is>
      </c>
      <c r="F36" s="63" t="inlineStr">
        <is>
          <t>观察</t>
        </is>
      </c>
    </row>
    <row r="37" ht="26" customHeight="1" s="42">
      <c r="A37" s="9" t="inlineStr">
        <is>
          <t>估值</t>
        </is>
      </c>
      <c r="B37" s="63" t="inlineStr">
        <is>
          <t>是</t>
        </is>
      </c>
      <c r="C37" s="63" t="inlineStr">
        <is>
          <t>TTM市盈率156倍。概率加权价334.70美元，比现价低44.9%。</t>
        </is>
      </c>
      <c r="D37" s="45" t="inlineStr">
        <is>
          <t>PE 分位、久期、WACC</t>
        </is>
      </c>
      <c r="E37" s="45" t="inlineStr">
        <is>
          <t>贵的时候少配</t>
        </is>
      </c>
      <c r="F37" s="63" t="inlineStr">
        <is>
          <t>观察</t>
        </is>
      </c>
    </row>
    <row r="38" ht="26" customHeight="1" s="42">
      <c r="A38" s="9" t="inlineStr">
        <is>
          <t>市场</t>
        </is>
      </c>
      <c r="B38" s="63" t="inlineStr">
        <is>
          <t>是</t>
        </is>
      </c>
      <c r="C38" s="63" t="inlineStr">
        <is>
          <t>复盘写近20日涨30.6%，9月28日单日跌3.61%。雅虎beta 2.48。波动高，所以证伪跌幅用0.744，不用信念去加大仓位。</t>
        </is>
      </c>
      <c r="D38" s="45" t="inlineStr">
        <is>
          <t>Beta、波动、最大回撤</t>
        </is>
      </c>
      <c r="E38" s="45" t="inlineStr">
        <is>
          <t>按波动倒数仓位</t>
        </is>
      </c>
      <c r="F38" s="63" t="inlineStr">
        <is>
          <t>观察</t>
        </is>
      </c>
    </row>
    <row r="39" ht="26" customHeight="1" s="42">
      <c r="A39" s="9" t="inlineStr">
        <is>
          <t>流动性</t>
        </is>
      </c>
      <c r="B39" s="63" t="inlineStr">
        <is>
          <t>否</t>
        </is>
      </c>
      <c r="C39" s="63" t="inlineStr">
        <is>
          <t>20个交易日日均成交额约119.98亿美元。流动性上限约6.00亿美元，远高于风险预算给出的6720美元，所以流动性不先绑住仓位。</t>
        </is>
      </c>
      <c r="D39" s="45" t="inlineStr">
        <is>
          <t>日均成交、价差</t>
        </is>
      </c>
      <c r="E39" s="45" t="inlineStr">
        <is>
          <t>限制绝对金额</t>
        </is>
      </c>
      <c r="F39" s="63" t="inlineStr">
        <is>
          <t>观察</t>
        </is>
      </c>
    </row>
    <row r="40" ht="26" customHeight="1" s="42">
      <c r="A40" s="9" t="inlineStr">
        <is>
          <t>治理/政策</t>
        </is>
      </c>
      <c r="B40" s="63" t="inlineStr">
        <is>
          <t>是</t>
        </is>
      </c>
      <c r="C40" s="63" t="inlineStr">
        <is>
          <t>收购尚需监管批准。交割前实验室与芯片业务分开。职务安排不是订单。</t>
        </is>
      </c>
      <c r="D40" s="45" t="inlineStr">
        <is>
          <t>增发、关联交易、监管</t>
        </is>
      </c>
      <c r="E40" s="45" t="inlineStr">
        <is>
          <t>一票否决或观察仓</t>
        </is>
      </c>
      <c r="F40" s="63" t="inlineStr">
        <is>
          <t>观察</t>
        </is>
      </c>
    </row>
  </sheetData>
  <mergeCells count="24">
    <mergeCell ref="C8:F8"/>
    <mergeCell ref="C7:F7"/>
    <mergeCell ref="B29:D29"/>
    <mergeCell ref="A3:F3"/>
    <mergeCell ref="A33:F33"/>
    <mergeCell ref="A2:F2"/>
    <mergeCell ref="B28:D28"/>
    <mergeCell ref="E29:F29"/>
    <mergeCell ref="A5:F5"/>
    <mergeCell ref="C6:F6"/>
    <mergeCell ref="E28:F28"/>
    <mergeCell ref="B30:D30"/>
    <mergeCell ref="E31:F31"/>
    <mergeCell ref="E30:F30"/>
    <mergeCell ref="A19:F19"/>
    <mergeCell ref="B26:D26"/>
    <mergeCell ref="E27:F27"/>
    <mergeCell ref="C10:F10"/>
    <mergeCell ref="E26:F26"/>
    <mergeCell ref="C9:F9"/>
    <mergeCell ref="B31:D31"/>
    <mergeCell ref="A1:F1"/>
    <mergeCell ref="B27:D27"/>
    <mergeCell ref="A25:F25"/>
  </mergeCells>
  <dataValidations count="3">
    <dataValidation sqref="F21:F23" showDropDown="0" showInputMessage="0" showErrorMessage="0" allowBlank="1" errorTitle="无效输入" error="请从下拉列表选择" promptTitle="填写" prompt="从列表选择" type="list">
      <formula1>"高,中,低"</formula1>
    </dataValidation>
    <dataValidation sqref="B35:B40" showDropDown="0" showInputMessage="0" showErrorMessage="0" allowBlank="1" errorTitle="无效输入" error="请从下拉列表选择" promptTitle="填写" prompt="从列表选择" type="list">
      <formula1>"是,否,待判"</formula1>
    </dataValidation>
    <dataValidation sqref="F35:F40" showDropDown="0" showInputMessage="0" showErrorMessage="0" allowBlank="1" errorTitle="无效输入" error="请从下拉列表选择" promptTitle="填写" prompt="从列表选择" type="list">
      <formula1>"观察,跟踪,一票否决"</formula1>
    </dataValidation>
  </dataValidations>
  <printOptions horizontalCentered="1"/>
  <pageMargins left="0.5" right="0.5" top="0.6" bottom="0.6" header="0.5" footer="0.5"/>
  <pageSetup orientation="portrait" paperSize="9" fitToHeight="0"/>
</worksheet>
</file>

<file path=xl/worksheets/sheet9.xml><?xml version="1.0" encoding="utf-8"?>
<worksheet xmlns="http://schemas.openxmlformats.org/spreadsheetml/2006/main">
  <sheetPr>
    <tabColor rgb="FF1F4E79"/>
    <outlinePr summaryBelow="1" summaryRight="1"/>
    <pageSetUpPr fitToPage="1"/>
  </sheetPr>
  <dimension ref="A1:F34"/>
  <sheetViews>
    <sheetView showGridLines="0" workbookViewId="0">
      <pane ySplit="1" topLeftCell="A2" activePane="bottomLeft" state="frozen"/>
      <selection pane="bottomLeft" activeCell="A1" sqref="A1"/>
    </sheetView>
  </sheetViews>
  <sheetFormatPr baseColWidth="8" defaultRowHeight="13.5"/>
  <cols>
    <col width="20" customWidth="1" style="42" min="1" max="1"/>
    <col width="16" customWidth="1" style="42" min="2" max="5"/>
    <col width="28" customWidth="1" style="42" min="6" max="6"/>
  </cols>
  <sheetData>
    <row r="1" ht="28.05" customHeight="1" s="42">
      <c r="A1" s="53" t="inlineStr">
        <is>
          <t>个股备忘录  ·  写完就能存档</t>
        </is>
      </c>
      <c r="B1" s="46" t="n"/>
      <c r="C1" s="46" t="n"/>
      <c r="D1" s="46" t="n"/>
      <c r="E1" s="46" t="n"/>
      <c r="F1" s="47" t="n"/>
    </row>
    <row r="2">
      <c r="A2" s="58">
        <f>"【"&amp;IF(封面!B5="","代码未填",封面!B5)&amp;"】 "&amp;封面!B6&amp;"  |  "&amp;封面!B7&amp;"  |  "&amp;TEXT(封面!B8,"YYYY-MM-DD")&amp;"  |  动作："&amp;封面!B19</f>
        <v/>
      </c>
      <c r="B2" s="46" t="n"/>
      <c r="C2" s="46" t="n"/>
      <c r="D2" s="46" t="n"/>
      <c r="E2" s="46" t="n"/>
      <c r="F2" s="47" t="n"/>
    </row>
    <row r="3" ht="36" customHeight="1" s="42">
      <c r="A3" s="49" t="inlineStr">
        <is>
          <t>结构：执行摘要 → 公司 → 行业 → 财务 → 估值 → 情绪 → 催化剂 → 风险 → 动作。把黄格里的提示换成事实和来源。打印本表即可作为研究报告。</t>
        </is>
      </c>
    </row>
    <row r="5" ht="36" customHeight="1" s="42">
      <c r="A5" s="58">
        <f>"论点："&amp;封面!B13</f>
        <v/>
      </c>
      <c r="B5" s="46" t="n"/>
      <c r="C5" s="46" t="n"/>
      <c r="D5" s="46" t="n"/>
      <c r="E5" s="46" t="n"/>
      <c r="F5" s="47" t="n"/>
    </row>
    <row r="7" ht="22.05" customHeight="1" s="42">
      <c r="A7" s="43" t="inlineStr">
        <is>
          <t>0. 执行摘要</t>
        </is>
      </c>
    </row>
    <row r="8" ht="32" customHeight="1" s="42">
      <c r="A8" s="63" t="inlineStr">
        <is>
          <t>① 内在价值：贵。概率加权价334.70美元，相对9月28日收盘607.87美元为-44.9%。基准价280美元。② 近月方向：偏多。复盘写近20日涨30.6%，但9月28日跌3.61%，纳指跌0.92%。③ 动作：等待。区间：155.60 ~ 623.20 USD。最大风险：把没有股数和订单的收购写成已经提高的每股收益。云端无 Excel，汇总按模板公式计算。初筛闸门按公式为通过，五项都是「是」。F=8，九项里只有杠杆下降为0，其余为1，评级强。分项[1, 1, 1, 1, 0, 1, 1, 1, 1]。Z=43.75，原版制造业公式。X1=0.2274，X2=0.0871，X3=0.0480，X4=71.25，X5=0.4503。X4是市值除以总负债，把Z抬到远高于2.99。这表示市场资本高，不表示经营本身有43分的安全边际。M=-2.61，低于-1.78，未触发盈余操纵阈值。高增长公司的M容易假阳性，这次没有触发。</t>
        </is>
      </c>
      <c r="B8" s="66" t="n"/>
      <c r="C8" s="66" t="n"/>
      <c r="D8" s="66" t="n"/>
      <c r="E8" s="66" t="n"/>
      <c r="F8" s="67" t="n"/>
    </row>
    <row r="9" ht="32" customHeight="1" s="42">
      <c r="A9" s="68" t="n"/>
      <c r="B9" s="69" t="n"/>
      <c r="C9" s="69" t="n"/>
      <c r="D9" s="69" t="n"/>
      <c r="E9" s="69" t="n"/>
      <c r="F9" s="70" t="n"/>
    </row>
    <row r="10" ht="22.05" customHeight="1" s="42">
      <c r="A10" s="43" t="inlineStr">
        <is>
          <t>1. 公司与商业模式</t>
        </is>
      </c>
    </row>
    <row r="11" ht="32" customHeight="1" s="42">
      <c r="A11" s="63" t="inlineStr">
        <is>
          <t>收入是数据中心、客户端与游戏、嵌入式。2025年收入346.39亿美元，毛利171.52亿美元，GAAP营业利润36.94亿美元，GAAP净利润43.35亿美元，持续经营经营现金流64.93亿美元，自由现金流55.19亿美元。来源：AMD 2026-02-03业绩稿。分部收入来自同期10-K概述：数据中心166亿美元、客户端与游戏146亿美元、嵌入式35亿美元。护城河在无形资产，自算ROIC约0.0558，没有证明高于资本成本。近12个月大事是2025年报，以及9月28日签署收购World Labs的最终协议。要闻写明作价约82亿美元全股票，股数未公布，没有新的芯片订单，交割预计2026年年底前，李飞飞交割后才出任执行副总裁兼首席科学家。</t>
        </is>
      </c>
      <c r="B11" s="66" t="n"/>
      <c r="C11" s="66" t="n"/>
      <c r="D11" s="66" t="n"/>
      <c r="E11" s="66" t="n"/>
      <c r="F11" s="67" t="n"/>
    </row>
    <row r="12" ht="32" customHeight="1" s="42">
      <c r="A12" s="68" t="n"/>
      <c r="B12" s="69" t="n"/>
      <c r="C12" s="69" t="n"/>
      <c r="D12" s="69" t="n"/>
      <c r="E12" s="69" t="n"/>
      <c r="F12" s="70" t="n"/>
    </row>
    <row r="13" ht="22.05" customHeight="1" s="42">
      <c r="A13" s="43" t="inlineStr">
        <is>
          <t>2. 行业与竞争</t>
        </is>
      </c>
    </row>
    <row r="14" ht="32" customHeight="1" s="42">
      <c r="A14" s="63" t="inlineStr">
        <is>
          <t>周期位置：2025年收入增34%，9月28日股价不在当天大涨，而在20日涨30.6%之后下跌3.61%。份额没有新的审计数字。对标同行的倍数中位待查，不编造。会改变利润池的文件是这份收购协议，但它没有订单。要闻写明国内模型公司和服务器公司不因为同属人工智能就写成受损或受益。英伟达没有被新闻稿写成因此失去的客户。</t>
        </is>
      </c>
      <c r="B14" s="66" t="n"/>
      <c r="C14" s="66" t="n"/>
      <c r="D14" s="66" t="n"/>
      <c r="E14" s="66" t="n"/>
      <c r="F14" s="67" t="n"/>
    </row>
    <row r="15" ht="32" customHeight="1" s="42">
      <c r="A15" s="68" t="n"/>
      <c r="B15" s="69" t="n"/>
      <c r="C15" s="69" t="n"/>
      <c r="D15" s="69" t="n"/>
      <c r="E15" s="69" t="n"/>
      <c r="F15" s="70" t="n"/>
    </row>
    <row r="16" ht="22.05" customHeight="1" s="42">
      <c r="A16" s="43" t="inlineStr">
        <is>
          <t>3. 财务质量</t>
        </is>
      </c>
    </row>
    <row r="17" ht="32" customHeight="1" s="42">
      <c r="A17" s="63" t="inlineStr">
        <is>
          <t>2022至2025年收入236.01亿、226.80亿、257.85亿、346.39亿美元。毛利率0.4493、0.4612、0.4935、0.4952。GAAP净利润13.20亿、8.54亿、16.41亿、43.35亿美元。持续经营经营现金流2024年30.41亿、2025年64.93亿美元。自由现金流11.21亿、24.05亿、55.19亿美元是2023至2025年。2022年取雅虎，2023年与SEC比较报表的收入和净利润一致，2024至2025年与业绩稿一致。可信度A：全年业绩有公司新闻稿和10-K。TTM每股收益3.89美元是雅虎四季摊薄每股收益0.75、0.92、0.84、1.38相加，这次没有打开2026年10-Q原件。</t>
        </is>
      </c>
      <c r="B17" s="66" t="n"/>
      <c r="C17" s="66" t="n"/>
      <c r="D17" s="66" t="n"/>
      <c r="E17" s="66" t="n"/>
      <c r="F17" s="67" t="n"/>
    </row>
    <row r="18" ht="32" customHeight="1" s="42">
      <c r="A18" s="68" t="n"/>
      <c r="B18" s="69" t="n"/>
      <c r="C18" s="69" t="n"/>
      <c r="D18" s="69" t="n"/>
      <c r="E18" s="69" t="n"/>
      <c r="F18" s="70" t="n"/>
    </row>
    <row r="19" ht="22.05" customHeight="1" s="42">
      <c r="A19" s="43" t="inlineStr">
        <is>
          <t>4. 估值</t>
        </is>
      </c>
    </row>
    <row r="20" ht="32" customHeight="1" s="42">
      <c r="A20" s="63" t="inlineStr">
        <is>
          <t>相对：TTM市盈率156.26倍。2025年静态市盈率229.38倍，用GAAP摊薄每股收益2.65美元。市净率自算15.75倍，权益用雅虎期末629.99亿美元。企业价值约985.0十亿美元口径下，EV/EBITDA用雅虎EBITDA 72.75亿美元自算为135.40倍，EV/Sales为28.44倍，自由现金流收益率0.0056。五年中位和同行中位待查。绝对：熊市每股收益3.89美元乘以40倍等于155.60美元，概率0.25。基准每股收益8.00美元乘以35倍等于280.00美元，概率0.50。牛市用雅虎一致预期15.58美元乘以40倍等于623.20美元，概率0.25。概率合计1。概率加权价334.70美元。现价高44.9%。共识更乐观，我的分歧是不加未披露的收购订单。</t>
        </is>
      </c>
      <c r="B20" s="66" t="n"/>
      <c r="C20" s="66" t="n"/>
      <c r="D20" s="66" t="n"/>
      <c r="E20" s="66" t="n"/>
      <c r="F20" s="67" t="n"/>
    </row>
    <row r="21" ht="32" customHeight="1" s="42">
      <c r="A21" s="68" t="n"/>
      <c r="B21" s="69" t="n"/>
      <c r="C21" s="69" t="n"/>
      <c r="D21" s="69" t="n"/>
      <c r="E21" s="69" t="n"/>
      <c r="F21" s="70" t="n"/>
    </row>
    <row r="22" ht="22.05" customHeight="1" s="42">
      <c r="A22" s="43" t="inlineStr">
        <is>
          <t>5. 情绪与预期差</t>
        </is>
      </c>
    </row>
    <row r="23" ht="32" customHeight="1" s="42">
      <c r="A23" s="63" t="inlineStr">
        <is>
          <t>叙事一句：全股票收购World Labs被放进人工智能路线图，股数和订单都还没有。新闻叙事热，卖方热，社交和期权待查。市场已定价2025年的增长和这份协议。我额外不押协议增厚。复盘写9月28日收盘607.87美元、跌3.61%、20日涨30.6%、市值约9923亿美元。自算市值为607.87乘以雅虎股本1,632,475,042，等于9923.33亿美元，和复盘的约数一致。9月29日盘中价不作为收盘。触发分析时美股尚未收盘。</t>
        </is>
      </c>
      <c r="B23" s="66" t="n"/>
      <c r="C23" s="66" t="n"/>
      <c r="D23" s="66" t="n"/>
      <c r="E23" s="66" t="n"/>
      <c r="F23" s="67" t="n"/>
    </row>
    <row r="24" ht="32" customHeight="1" s="42">
      <c r="A24" s="68" t="n"/>
      <c r="B24" s="69" t="n"/>
      <c r="C24" s="69" t="n"/>
      <c r="D24" s="69" t="n"/>
      <c r="E24" s="69" t="n"/>
      <c r="F24" s="70" t="n"/>
    </row>
    <row r="25" ht="22.05" customHeight="1" s="42">
      <c r="A25" s="43" t="inlineStr">
        <is>
          <t>6. 催化剂（3–12 个月）</t>
        </is>
      </c>
    </row>
    <row r="26" ht="32" customHeight="1" s="42">
      <c r="A26" s="63" t="inlineStr">
        <is>
          <t>事件：监管文件或后续协议单列发行股数；2026年年底前的交割窗口；2026年GAAP每股收益。若兑现，看股数是否仍未公布、有没有被点名的新订单、每股收益是否高于8美元。若不兑现，要闻列的五项跟踪都还是空的，不在607.87美元把协议当成收入。</t>
        </is>
      </c>
      <c r="B26" s="66" t="n"/>
      <c r="C26" s="66" t="n"/>
      <c r="D26" s="66" t="n"/>
      <c r="E26" s="66" t="n"/>
      <c r="F26" s="67" t="n"/>
    </row>
    <row r="27" ht="32" customHeight="1" s="42">
      <c r="A27" s="68" t="n"/>
      <c r="B27" s="69" t="n"/>
      <c r="C27" s="69" t="n"/>
      <c r="D27" s="69" t="n"/>
      <c r="E27" s="69" t="n"/>
      <c r="F27" s="70" t="n"/>
    </row>
    <row r="28" ht="22.05" customHeight="1" s="42">
      <c r="A28" s="43" t="inlineStr">
        <is>
          <t>7. 风险与 Pre-mortem</t>
        </is>
      </c>
    </row>
    <row r="29" ht="32" customHeight="1" s="42">
      <c r="A29" s="63" t="inlineStr">
        <is>
          <t>一年后失败的三个原因。第一，盈利停在TTM附近而倍数压缩，价格靠近155.60美元，这是攻击“现价合理”的一条，也是等待而不是买入的原因。第二，发行股数很大且没有订单，每股收益被摊薄。第三，存货上升吃掉经营现金流。监控是股数披露、2026年每股收益、存货和经营现金流。</t>
        </is>
      </c>
      <c r="B29" s="66" t="n"/>
      <c r="C29" s="66" t="n"/>
      <c r="D29" s="66" t="n"/>
      <c r="E29" s="66" t="n"/>
      <c r="F29" s="67" t="n"/>
    </row>
    <row r="30" ht="32" customHeight="1" s="42">
      <c r="A30" s="68" t="n"/>
      <c r="B30" s="69" t="n"/>
      <c r="C30" s="69" t="n"/>
      <c r="D30" s="69" t="n"/>
      <c r="E30" s="69" t="n"/>
      <c r="F30" s="70" t="n"/>
    </row>
    <row r="31" ht="22.05" customHeight="1" s="42">
      <c r="A31" s="43" t="inlineStr">
        <is>
          <t>8. 动作与观察清单</t>
        </is>
      </c>
    </row>
    <row r="32" ht="32" customHeight="1" s="42">
      <c r="A32" s="63" t="inlineStr">
        <is>
          <t>仓位上限0.67%。假设组合权益100万美元，风险预算0.005，证伪跌幅0.744。建议金额约6720美元，约11.1股。这是上限，不是现价买单。日均成交额11989536184美元，流动性占用上限0.05，流动性金额远大于风险预算金额，所以取风险预算这一侧。建仓区间：不高于280美元，且股数已经披露。证伪：2026年GAAP每股收益低于4美元，或价格补充位155.60美元。下次复盘：发行股数的下一份文件，或2026年年报。仅供研究备忘，不构成投资建议。</t>
        </is>
      </c>
      <c r="B32" s="66" t="n"/>
      <c r="C32" s="66" t="n"/>
      <c r="D32" s="66" t="n"/>
      <c r="E32" s="66" t="n"/>
      <c r="F32" s="67" t="n"/>
    </row>
    <row r="33" ht="32" customHeight="1" s="42">
      <c r="A33" s="68" t="n"/>
      <c r="B33" s="69" t="n"/>
      <c r="C33" s="69" t="n"/>
      <c r="D33" s="69" t="n"/>
      <c r="E33" s="69" t="n"/>
      <c r="F33" s="70" t="n"/>
    </row>
    <row r="34">
      <c r="A34" s="45" t="inlineStr">
        <is>
          <t>声明：本研究记录仅供个人决策备忘，不构成投资建议。</t>
        </is>
      </c>
      <c r="B34" s="46" t="n"/>
      <c r="C34" s="46" t="n"/>
      <c r="D34" s="46" t="n"/>
      <c r="E34" s="46" t="n"/>
      <c r="F34" s="47" t="n"/>
    </row>
  </sheetData>
  <mergeCells count="23">
    <mergeCell ref="A16:F16"/>
    <mergeCell ref="A23:F24"/>
    <mergeCell ref="A3:F3"/>
    <mergeCell ref="A2:F2"/>
    <mergeCell ref="A11:F12"/>
    <mergeCell ref="A5:F5"/>
    <mergeCell ref="A22:F22"/>
    <mergeCell ref="A10:F10"/>
    <mergeCell ref="A28:F28"/>
    <mergeCell ref="A13:F13"/>
    <mergeCell ref="A19:F19"/>
    <mergeCell ref="A31:F31"/>
    <mergeCell ref="A34:F34"/>
    <mergeCell ref="A26:F27"/>
    <mergeCell ref="A32:F33"/>
    <mergeCell ref="A14:F15"/>
    <mergeCell ref="A1:F1"/>
    <mergeCell ref="A17:F18"/>
    <mergeCell ref="A8:F9"/>
    <mergeCell ref="A20:F21"/>
    <mergeCell ref="A7:F7"/>
    <mergeCell ref="A25:F25"/>
    <mergeCell ref="A29:F30"/>
  </mergeCells>
  <printOptions horizontalCentered="1"/>
  <pageMargins left="0.5" right="0.5" top="0.6" bottom="0.6" header="0.5" footer="0.5"/>
  <pageSetup orientation="portrait" paperSize="9" fitToHeight="0"/>
</worksheet>
</file>

<file path=xl/worksheets/sheet10.xml><?xml version="1.0" encoding="utf-8"?>
<worksheet xmlns="http://schemas.openxmlformats.org/spreadsheetml/2006/main">
  <sheetPr>
    <tabColor rgb="FF595959"/>
    <outlinePr summaryBelow="1" summaryRight="1"/>
    <pageSetUpPr fitToPage="1"/>
  </sheetPr>
  <dimension ref="A1:F22"/>
  <sheetViews>
    <sheetView showGridLines="0" workbookViewId="0">
      <pane ySplit="1" topLeftCell="A2" activePane="bottomLeft" state="frozen"/>
      <selection pane="bottomLeft" activeCell="A1" sqref="A1"/>
    </sheetView>
  </sheetViews>
  <sheetFormatPr baseColWidth="8" defaultRowHeight="13.5"/>
  <cols>
    <col width="28" customWidth="1" style="42" min="1" max="1"/>
    <col width="16" customWidth="1" style="42" min="2" max="2"/>
    <col width="14" customWidth="1" style="42" min="3" max="3"/>
    <col width="44" customWidth="1" style="42" min="4" max="4"/>
    <col width="22" customWidth="1" style="42" min="5" max="6"/>
  </cols>
  <sheetData>
    <row r="1" ht="28.05" customHeight="1" s="42">
      <c r="A1" s="53" t="inlineStr">
        <is>
          <t>工具对照  ·  取数与模型，不是第二套流程</t>
        </is>
      </c>
      <c r="B1" s="46" t="n"/>
      <c r="C1" s="46" t="n"/>
      <c r="D1" s="46" t="n"/>
      <c r="E1" s="46" t="n"/>
      <c r="F1" s="47" t="n"/>
    </row>
    <row r="2" ht="36" customHeight="1" s="42">
      <c r="A2" s="49" t="inlineStr">
        <is>
          <t>能免费走通：年报原文 + akshare 或 yfinance + 本模板 +（可选）Damodaran 表。不要同时开五套 AI 选股工具。</t>
        </is>
      </c>
    </row>
    <row r="4" ht="22.05" customHeight="1" s="42">
      <c r="A4" s="43" t="inlineStr">
        <is>
          <t>取数</t>
        </is>
      </c>
    </row>
    <row r="5" ht="22.05" customHeight="1" s="42">
      <c r="A5" s="51" t="inlineStr">
        <is>
          <t>工具</t>
        </is>
      </c>
      <c r="B5" s="51" t="inlineStr">
        <is>
          <t>市场</t>
        </is>
      </c>
      <c r="C5" s="51" t="inlineStr">
        <is>
          <t>费用</t>
        </is>
      </c>
      <c r="D5" s="51" t="inlineStr">
        <is>
          <t>擅长</t>
        </is>
      </c>
      <c r="E5" s="51" t="inlineStr">
        <is>
          <t>链接</t>
        </is>
      </c>
      <c r="F5" s="47" t="n"/>
    </row>
    <row r="6" ht="28.05" customHeight="1" s="42">
      <c r="A6" s="62" t="inlineStr">
        <is>
          <t>AKShare</t>
        </is>
      </c>
      <c r="B6" s="62" t="inlineStr">
        <is>
          <t>A/H 为主</t>
        </is>
      </c>
      <c r="C6" s="62" t="inlineStr">
        <is>
          <t>免费</t>
        </is>
      </c>
      <c r="D6" s="62" t="inlineStr">
        <is>
          <t>行情、财务、资金、宏观；接口偶有变动</t>
        </is>
      </c>
      <c r="E6" s="62" t="inlineStr">
        <is>
          <t>github.com/akfamily/akshare</t>
        </is>
      </c>
      <c r="F6" s="47" t="n"/>
    </row>
    <row r="7" ht="28.05" customHeight="1" s="42">
      <c r="A7" s="55" t="inlineStr">
        <is>
          <t>Tushare Pro</t>
        </is>
      </c>
      <c r="B7" s="55" t="inlineStr">
        <is>
          <t>A 股</t>
        </is>
      </c>
      <c r="C7" s="55" t="inlineStr">
        <is>
          <t>注册额度</t>
        </is>
      </c>
      <c r="D7" s="55" t="inlineStr">
        <is>
          <t>财务/行情较稳，积分限制部分接口</t>
        </is>
      </c>
      <c r="E7" s="55" t="inlineStr">
        <is>
          <t>tushare.pro</t>
        </is>
      </c>
      <c r="F7" s="47" t="n"/>
    </row>
    <row r="8" ht="28.05" customHeight="1" s="42">
      <c r="A8" s="62" t="inlineStr">
        <is>
          <t>yfinance / SEC EDGAR</t>
        </is>
      </c>
      <c r="B8" s="62" t="inlineStr">
        <is>
          <t>美股</t>
        </is>
      </c>
      <c r="C8" s="62" t="inlineStr">
        <is>
          <t>免费</t>
        </is>
      </c>
      <c r="D8" s="62" t="inlineStr">
        <is>
          <t>价格与 10-K/10-Q 原文</t>
        </is>
      </c>
      <c r="E8" s="62" t="inlineStr">
        <is>
          <t>sec.gov</t>
        </is>
      </c>
      <c r="F8" s="47" t="n"/>
    </row>
    <row r="9" ht="28.05" customHeight="1" s="42">
      <c r="A9" s="55" t="inlineStr">
        <is>
          <t>东方财富 / 理杏仁</t>
        </is>
      </c>
      <c r="B9" s="55" t="inlineStr">
        <is>
          <t>A/H</t>
        </is>
      </c>
      <c r="C9" s="55" t="inlineStr">
        <is>
          <t>免费/付费</t>
        </is>
      </c>
      <c r="D9" s="55" t="inlineStr">
        <is>
          <t>一致预期、估值、资金</t>
        </is>
      </c>
      <c r="E9" s="55" t="n"/>
      <c r="F9" s="47" t="n"/>
    </row>
    <row r="10" ht="28.05" customHeight="1" s="42">
      <c r="A10" s="62" t="inlineStr">
        <is>
          <t>公司年报 / 港交所披露易</t>
        </is>
      </c>
      <c r="B10" s="62" t="inlineStr">
        <is>
          <t>A/H</t>
        </is>
      </c>
      <c r="C10" s="62" t="inlineStr">
        <is>
          <t>免费</t>
        </is>
      </c>
      <c r="D10" s="62" t="inlineStr">
        <is>
          <t>最终事实来源，关键数字必须对到此处</t>
        </is>
      </c>
      <c r="E10" s="62" t="n"/>
      <c r="F10" s="47" t="n"/>
    </row>
    <row r="12" ht="22.05" customHeight="1" s="42">
      <c r="A12" s="43" t="inlineStr">
        <is>
          <t>估值与质量</t>
        </is>
      </c>
    </row>
    <row r="13" ht="22.05" customHeight="1" s="42">
      <c r="A13" s="51" t="inlineStr">
        <is>
          <t>资源</t>
        </is>
      </c>
      <c r="B13" s="51" t="inlineStr">
        <is>
          <t>用途</t>
        </is>
      </c>
      <c r="C13" s="46" t="n"/>
      <c r="D13" s="46" t="n"/>
      <c r="E13" s="46" t="n"/>
      <c r="F13" s="47" t="n"/>
    </row>
    <row r="14" ht="32" customHeight="1" s="42">
      <c r="A14" s="9" t="inlineStr">
        <is>
          <t>Damodaran ginzu 表</t>
        </is>
      </c>
      <c r="B14" s="55" t="inlineStr">
        <is>
          <t>非金融 FCFF：pages.stern.nyu.edu/~adamodar/pc/fcffsimpleginzu.xlsx ；金融 DDM：divginzu.xlsx</t>
        </is>
      </c>
      <c r="C14" s="46" t="n"/>
      <c r="D14" s="46" t="n"/>
      <c r="E14" s="46" t="n"/>
      <c r="F14" s="47" t="n"/>
    </row>
    <row r="15" ht="32" customHeight="1" s="42">
      <c r="A15" s="9" t="inlineStr">
        <is>
          <t>本模板评分表</t>
        </is>
      </c>
      <c r="B15" s="55" t="inlineStr">
        <is>
          <t>Piotroski F、Altman Z、Beneish M 快速体检</t>
        </is>
      </c>
      <c r="C15" s="46" t="n"/>
      <c r="D15" s="46" t="n"/>
      <c r="E15" s="46" t="n"/>
      <c r="F15" s="47" t="n"/>
    </row>
    <row r="16" ht="32" customHeight="1" s="42">
      <c r="A16" s="9" t="inlineStr">
        <is>
          <t>investTemplate</t>
        </is>
      </c>
      <c r="B16" s="55" t="inlineStr">
        <is>
          <t>A/H 价值股、高股息、烟蒂、央国企深度体检（GitHub: sunheyi6/investTemplate）</t>
        </is>
      </c>
      <c r="C16" s="46" t="n"/>
      <c r="D16" s="46" t="n"/>
      <c r="E16" s="46" t="n"/>
      <c r="F16" s="47" t="n"/>
    </row>
    <row r="18" ht="22.05" customHeight="1" s="42">
      <c r="A18" s="43" t="inlineStr">
        <is>
          <t>最低可行工具链</t>
        </is>
      </c>
    </row>
    <row r="19" ht="28.05" customHeight="1" s="42">
      <c r="A19" s="55" t="inlineStr">
        <is>
          <t>· A 股：年报 PDF + 本模板 + 东方财富一致预期。深度价值再上 investTemplate。</t>
        </is>
      </c>
      <c r="B19" s="46" t="n"/>
      <c r="C19" s="46" t="n"/>
      <c r="D19" s="46" t="n"/>
      <c r="E19" s="46" t="n"/>
      <c r="F19" s="47" t="n"/>
    </row>
    <row r="20" ht="28.05" customHeight="1" s="42">
      <c r="A20" s="55" t="inlineStr">
        <is>
          <t>· 港股：年报 / 披露易 + 本模板。代码用 0992.HK 这种 Yahoo 形式便于对照行情。</t>
        </is>
      </c>
      <c r="B20" s="46" t="n"/>
      <c r="C20" s="46" t="n"/>
      <c r="D20" s="46" t="n"/>
      <c r="E20" s="46" t="n"/>
      <c r="F20" s="47" t="n"/>
    </row>
    <row r="21" ht="28.05" customHeight="1" s="42">
      <c r="A21" s="55" t="inlineStr">
        <is>
          <t>· 美股：10-K + 本模板 +（可选）Damodaran + 期权 IV。</t>
        </is>
      </c>
      <c r="B21" s="46" t="n"/>
      <c r="C21" s="46" t="n"/>
      <c r="D21" s="46" t="n"/>
      <c r="E21" s="46" t="n"/>
      <c r="F21" s="47" t="n"/>
    </row>
    <row r="22" ht="28.05" customHeight="1" s="42">
      <c r="A22" s="55" t="inlineStr">
        <is>
          <t>· 本模板不代替年报。黄格里的每一个关键数字都应该能指回一页财报或一份公告。</t>
        </is>
      </c>
      <c r="B22" s="46" t="n"/>
      <c r="C22" s="46" t="n"/>
      <c r="D22" s="46" t="n"/>
      <c r="E22" s="46" t="n"/>
      <c r="F22" s="47" t="n"/>
    </row>
  </sheetData>
  <mergeCells count="19">
    <mergeCell ref="B16:F16"/>
    <mergeCell ref="E5:F5"/>
    <mergeCell ref="A12:F12"/>
    <mergeCell ref="A18:F18"/>
    <mergeCell ref="A21:F21"/>
    <mergeCell ref="E8:F8"/>
    <mergeCell ref="A2:F2"/>
    <mergeCell ref="E10:F10"/>
    <mergeCell ref="A22:F22"/>
    <mergeCell ref="A4:F4"/>
    <mergeCell ref="B14:F14"/>
    <mergeCell ref="A20:F20"/>
    <mergeCell ref="E9:F9"/>
    <mergeCell ref="B13:F13"/>
    <mergeCell ref="E6:F6"/>
    <mergeCell ref="A19:F19"/>
    <mergeCell ref="E7:F7"/>
    <mergeCell ref="B15:F15"/>
    <mergeCell ref="A1:F1"/>
  </mergeCells>
  <printOptions horizontalCentered="1"/>
  <pageMargins left="0.5" right="0.5" top="0.6" bottom="0.6" header="0.5" footer="0.5"/>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Stock Analysis Toolkit</dc:creator>
  <dc:title xmlns:dc="http://purl.org/dc/elements/1.1/">个股分析工具箱</dc:title>
  <dcterms:created xmlns:dcterms="http://purl.org/dc/terms/" xmlns:xsi="http://www.w3.org/2001/XMLSchema-instance" xsi:type="dcterms:W3CDTF">2026-08-26T04:21:23Z</dcterms:created>
  <dcterms:modified xmlns:dcterms="http://purl.org/dc/terms/" xmlns:xsi="http://www.w3.org/2001/XMLSchema-instance" xsi:type="dcterms:W3CDTF">2026-09-29T19:11:54Z</dcterms:modified>
  <cp:lastModifiedBy>张哥</cp:lastModifiedBy>
</cp:coreProperties>
</file>