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 h:mm:ss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top" wrapText="1"/>
    </xf>
    <xf numFmtId="17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7" fillId="8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63" t="inlineStr">
        <is>
          <t>000002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3" t="inlineStr">
        <is>
          <t>万科A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3" t="inlineStr">
        <is>
          <t>A股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4" t="n">
        <v>46294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5" t="n">
        <v>4.08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3" t="inlineStr">
        <is>
          <t>CNY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3" t="inlineStr">
        <is>
          <t>房地产开发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3" t="inlineStr">
        <is>
          <t>FY2025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3" t="inlineStr">
        <is>
          <t>商品房销售说得清，但2025年扣非净亏损859.17亿元，经营现金流净额为负9.88亿元，初筛排除，不把国常会“研究出台”折成公司新合同或目标价。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3" t="inlineStr">
        <is>
          <t>未建模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3" t="inlineStr">
        <is>
          <t>偏多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3" t="inlineStr">
        <is>
          <t>排除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3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3" t="inlineStr">
        <is>
          <t>高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3" t="inlineStr">
        <is>
          <t>把9月28日国常会“研究出台稳定房地产市场”写成已经落地的收储细则，或写成万科9月29日的新合同。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3" t="inlineStr">
        <is>
          <t>是</t>
        </is>
      </c>
      <c r="D6" s="63" t="inlineStr">
        <is>
          <t>卖商品房及相关服务。2025年营业收入233,432,768,960.43元。来源：万科企业股份有限公司2025年年度报告主要会计数据，巨潮资讯2026-04-01年度报告摘要。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3" t="inlineStr">
        <is>
          <t>是</t>
        </is>
      </c>
      <c r="D7" s="63" t="inlineStr">
        <is>
          <t>2025年年度报告摘要写明：公司不存在控股股东及实际控制人。公司仍在经营房地产开发，不是把上市公司当成空壳融资平台。来源：巨潮资讯2025年度报告摘要“公司与第一大股东之间的产权及控制关系”。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3" t="inlineStr">
        <is>
          <t>否</t>
        </is>
      </c>
      <c r="D8" s="63" t="inlineStr">
        <is>
          <t>否。2025年经营活动产生的现金流量净额-988,124,860.96元，不为正。归母净利润-88,556,470,495.64元，也为负。模板要求经营现金流为正，且与净利润同向。现金流这一条已经不满足。来源：2025年年度报告主要会计数据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3" t="inlineStr">
        <is>
          <t>否</t>
        </is>
      </c>
      <c r="D9" s="63" t="inlineStr">
        <is>
          <t>否。雅虎资产负债表2025-12-31：有息负债合计3,458.59亿元，现金及现金等价物672.41亿元，现金盖不住有息负债。雅虎利润表利息费用85.02亿元。年报营业利润-70,999,044,405.37元，利润总额-73,923,814,314.97元。经营现金流为负，利息没有正向营业利润覆盖。债务数字来自雅虎，损益来自年报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3" t="inlineStr">
        <is>
          <t>否</t>
        </is>
      </c>
      <c r="D10" s="63" t="inlineStr">
        <is>
          <t>否。2025年扣除非经常性损益后归母净利润-85,917,363,120.34元。2024年扣非后归母-45,393,719,289.83元。扣非后主业连续大额亏损。来源：2025年年度报告主要会计数据。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3" t="inlineStr">
        <is>
          <t>向购房人卖商品房，收入按交房结算，成本是地价、建安和资金利息。2025年确认了2334.33亿元收入，扣非后仍亏859.17亿元。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25" t="n"/>
      <c r="D6" s="25" t="n"/>
      <c r="E6" s="25" t="n"/>
      <c r="F6" s="25" t="n"/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百万元</t>
        </is>
      </c>
    </row>
    <row r="7" ht="20" customHeight="1" s="42">
      <c r="A7" s="9" t="inlineStr">
        <is>
          <t>营业收入</t>
        </is>
      </c>
      <c r="B7" s="76" t="n"/>
      <c r="C7" s="76" t="n"/>
      <c r="D7" s="76" t="n"/>
      <c r="E7" s="76" t="n"/>
      <c r="F7" s="76" t="n"/>
      <c r="G7" s="77">
        <f>IF(OR(E7="",E7=0,F7=""),"",(F7-E7)/E7)</f>
        <v/>
      </c>
      <c r="H7" s="28" t="n"/>
      <c r="I7" s="41" t="n"/>
    </row>
    <row r="8" ht="20" customHeight="1" s="42">
      <c r="A8" s="9" t="inlineStr">
        <is>
          <t>毛利</t>
        </is>
      </c>
      <c r="B8" s="76" t="n"/>
      <c r="C8" s="76" t="n"/>
      <c r="D8" s="76" t="n"/>
      <c r="E8" s="76" t="n"/>
      <c r="F8" s="76" t="n"/>
      <c r="G8" s="77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78" t="n"/>
      <c r="C9" s="78" t="n"/>
      <c r="D9" s="78" t="n"/>
      <c r="E9" s="78" t="n"/>
      <c r="F9" s="78" t="n"/>
      <c r="G9" s="77">
        <f>IF(OR(E9="",F9=""),"",F9-E9)</f>
        <v/>
      </c>
      <c r="H9" s="77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76" t="n"/>
      <c r="C10" s="76" t="n"/>
      <c r="D10" s="76" t="n"/>
      <c r="E10" s="76" t="n"/>
      <c r="F10" s="76" t="n"/>
      <c r="G10" s="77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76" t="n"/>
      <c r="C11" s="76" t="n"/>
      <c r="D11" s="76" t="n"/>
      <c r="E11" s="76" t="n"/>
      <c r="F11" s="76" t="n"/>
      <c r="G11" s="77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76" t="n"/>
      <c r="C12" s="76" t="n"/>
      <c r="D12" s="76" t="n"/>
      <c r="E12" s="76" t="n"/>
      <c r="F12" s="76" t="n"/>
      <c r="G12" s="77">
        <f>IF(OR(E12="",E12=0,F12=""),"",(F12-E12)/E12)</f>
        <v/>
      </c>
      <c r="H12" s="79">
        <f>IF(OR(F11="",F11=0,F12=""),"",F12/F11)</f>
        <v/>
      </c>
      <c r="I12" s="41" t="n"/>
    </row>
    <row r="13" ht="20" customHeight="1" s="42">
      <c r="A13" s="9" t="inlineStr">
        <is>
          <t>资本开支</t>
        </is>
      </c>
      <c r="B13" s="76" t="n"/>
      <c r="C13" s="76" t="n"/>
      <c r="D13" s="76" t="n"/>
      <c r="E13" s="76" t="n"/>
      <c r="F13" s="76" t="n"/>
      <c r="G13" s="77">
        <f>IF(OR(E13="",E13=0,F13=""),"",(F13-E13)/E13)</f>
        <v/>
      </c>
      <c r="H13" s="28" t="n"/>
      <c r="I13" s="41" t="n"/>
    </row>
    <row r="14" ht="20" customHeight="1" s="42">
      <c r="A14" s="9" t="inlineStr">
        <is>
          <t>自由现金流</t>
        </is>
      </c>
      <c r="B14" s="76" t="n"/>
      <c r="C14" s="76" t="n"/>
      <c r="D14" s="76" t="n"/>
      <c r="E14" s="76" t="n"/>
      <c r="F14" s="76" t="n"/>
      <c r="G14" s="77">
        <f>IF(OR(E14="",E14=0,F14=""),"",(F14-E14)/E14)</f>
        <v/>
      </c>
      <c r="H14" s="80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8" t="n"/>
      <c r="C15" s="78" t="n"/>
      <c r="D15" s="78" t="n"/>
      <c r="E15" s="78" t="n"/>
      <c r="F15" s="78" t="n"/>
      <c r="G15" s="77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78" t="n"/>
      <c r="C16" s="78" t="n"/>
      <c r="D16" s="78" t="n"/>
      <c r="E16" s="78" t="n"/>
      <c r="F16" s="78" t="n"/>
      <c r="G16" s="77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76" t="n"/>
      <c r="C17" s="76" t="n"/>
      <c r="D17" s="76" t="n"/>
      <c r="E17" s="76" t="n"/>
      <c r="F17" s="76" t="n"/>
      <c r="G17" s="77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76" t="n"/>
      <c r="C18" s="76" t="n"/>
      <c r="D18" s="76" t="n"/>
      <c r="E18" s="76" t="n"/>
      <c r="F18" s="76" t="n"/>
      <c r="G18" s="77">
        <f>IF(OR(E18="",E18=0,F18=""),"",(F18-E18)/E18)</f>
        <v/>
      </c>
      <c r="H18" s="28" t="n"/>
      <c r="I18" s="41" t="n"/>
    </row>
    <row r="19" ht="20" customHeight="1" s="42">
      <c r="A19" s="9" t="inlineStr">
        <is>
          <t>现金及等价物</t>
        </is>
      </c>
      <c r="B19" s="76" t="n"/>
      <c r="C19" s="76" t="n"/>
      <c r="D19" s="76" t="n"/>
      <c r="E19" s="76" t="n"/>
      <c r="F19" s="76" t="n"/>
      <c r="G19" s="77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76" t="n"/>
      <c r="C20" s="76" t="n"/>
      <c r="D20" s="76" t="n"/>
      <c r="E20" s="76" t="n"/>
      <c r="F20" s="76" t="n"/>
      <c r="G20" s="77">
        <f>IF(OR(E20="",E20=0,F20=""),"",(F20-E20)/E20)</f>
        <v/>
      </c>
      <c r="H20" s="80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6" t="n"/>
      <c r="C21" s="76" t="n"/>
      <c r="D21" s="76" t="n"/>
      <c r="E21" s="76" t="n"/>
      <c r="F21" s="76" t="n"/>
      <c r="G21" s="77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76" t="n"/>
      <c r="C22" s="76" t="n"/>
      <c r="D22" s="76" t="n"/>
      <c r="E22" s="76" t="n"/>
      <c r="F22" s="76" t="n"/>
      <c r="G22" s="77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76" t="n"/>
      <c r="C23" s="76" t="n"/>
      <c r="D23" s="76" t="n"/>
      <c r="E23" s="76" t="n"/>
      <c r="F23" s="76" t="n"/>
      <c r="G23" s="77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6" t="n"/>
      <c r="C24" s="76" t="n"/>
      <c r="D24" s="76" t="n"/>
      <c r="E24" s="76" t="n"/>
      <c r="F24" s="76" t="n"/>
      <c r="G24" s="77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n"/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n"/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n"/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n"/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n"/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76" t="n"/>
      <c r="C7" s="76" t="n"/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76" t="n"/>
      <c r="C8" s="76" t="n"/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76" t="n"/>
      <c r="C9" s="76" t="n"/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76" t="n"/>
      <c r="C10" s="76" t="n"/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76" t="n"/>
      <c r="C11" s="76" t="n"/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76" t="n"/>
      <c r="C12" s="76" t="n"/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76" t="n"/>
      <c r="C13" s="76" t="n"/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76" t="n"/>
      <c r="C14" s="76" t="n"/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76" t="n"/>
      <c r="C15" s="76" t="n"/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76" t="n"/>
      <c r="C16" s="76" t="n"/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76" t="n"/>
      <c r="C17" s="76" t="n"/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76" t="n"/>
      <c r="C18" s="76" t="n"/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76" t="n"/>
      <c r="C19" s="76" t="n"/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76" t="n"/>
      <c r="C20" s="76" t="n"/>
      <c r="D20" s="45" t="inlineStr">
        <is>
          <t>留空则用右边自动值</t>
        </is>
      </c>
      <c r="E20" s="80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76" t="n"/>
      <c r="C21" s="76" t="n"/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76" t="n"/>
      <c r="C22" s="76" t="n"/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76" t="n"/>
      <c r="C23" s="76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76" t="n"/>
      <c r="C24" s="76" t="n"/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1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1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1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1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1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1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1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1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待判</t>
        </is>
      </c>
      <c r="C7" s="41" t="n"/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待判</t>
        </is>
      </c>
      <c r="C8" s="41" t="n"/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待判</t>
        </is>
      </c>
      <c r="C9" s="41" t="n"/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待判</t>
        </is>
      </c>
      <c r="C10" s="41" t="n"/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待判</t>
        </is>
      </c>
      <c r="C11" s="41" t="n"/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ROIC 是否在完整周期高于 WACC？再投资能否继续获得超额回报？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/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/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/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8" t="n">
        <v>0.25</v>
      </c>
      <c r="C25" s="76" t="n"/>
      <c r="D25" s="82" t="n"/>
      <c r="E25" s="80">
        <f>IF(OR(C25="",D25=""),"",C25*D25)</f>
        <v/>
      </c>
      <c r="F25" s="77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8" t="n">
        <v>0.5</v>
      </c>
      <c r="C26" s="76" t="n"/>
      <c r="D26" s="82" t="n"/>
      <c r="E26" s="80">
        <f>IF(OR(C26="",D26=""),"",C26*D26)</f>
        <v/>
      </c>
      <c r="F26" s="77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8" t="n">
        <v>0.25</v>
      </c>
      <c r="C27" s="76" t="n"/>
      <c r="D27" s="82" t="n"/>
      <c r="E27" s="80">
        <f>IF(OR(C27="",D27=""),"",C27*D27)</f>
        <v/>
      </c>
      <c r="F27" s="77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0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7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n"/>
      <c r="C35" s="41" t="n"/>
      <c r="D35" s="41" t="n"/>
      <c r="E35" s="41" t="n"/>
      <c r="F35" s="41" t="n"/>
    </row>
    <row r="36" ht="24" customHeight="1" s="42">
      <c r="A36" s="9" t="inlineStr">
        <is>
          <t>利润率</t>
        </is>
      </c>
      <c r="B36" s="41" t="n"/>
      <c r="C36" s="41" t="n"/>
      <c r="D36" s="41" t="n"/>
      <c r="E36" s="41" t="n"/>
      <c r="F36" s="41" t="n"/>
    </row>
    <row r="37" ht="24" customHeight="1" s="42">
      <c r="A37" s="9" t="inlineStr">
        <is>
          <t>FCF / 派息</t>
        </is>
      </c>
      <c r="B37" s="41" t="n"/>
      <c r="C37" s="41" t="n"/>
      <c r="D37" s="41" t="n"/>
      <c r="E37" s="41" t="n"/>
      <c r="F37" s="41" t="n"/>
    </row>
    <row r="38" ht="24" customHeight="1" s="42">
      <c r="A38" s="9" t="inlineStr">
        <is>
          <t>竞争格局</t>
        </is>
      </c>
      <c r="B38" s="41" t="n"/>
      <c r="C38" s="41" t="n"/>
      <c r="D38" s="41" t="n"/>
      <c r="E38" s="41" t="n"/>
      <c r="F38" s="41" t="n"/>
    </row>
    <row r="39" ht="24" customHeight="1" s="42">
      <c r="A39" s="9" t="inlineStr">
        <is>
          <t>倍数/折现率</t>
        </is>
      </c>
      <c r="B39" s="41" t="n"/>
      <c r="C39" s="41" t="n"/>
      <c r="D39" s="41" t="n"/>
      <c r="E39" s="41" t="n"/>
      <c r="F39" s="41" t="n"/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n"/>
      <c r="C7" s="48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n"/>
    </row>
    <row r="8" ht="36" customHeight="1" s="42">
      <c r="A8" s="9" t="inlineStr">
        <is>
          <t>社交与散户</t>
        </is>
      </c>
      <c r="B8" s="41" t="n"/>
      <c r="C8" s="48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n"/>
    </row>
    <row r="9" ht="36" customHeight="1" s="42">
      <c r="A9" s="9" t="inlineStr">
        <is>
          <t>卖方与资金</t>
        </is>
      </c>
      <c r="B9" s="41" t="n"/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n"/>
    </row>
    <row r="10" ht="36" customHeight="1" s="42">
      <c r="A10" s="9" t="inlineStr">
        <is>
          <t>期权与波动</t>
        </is>
      </c>
      <c r="B10" s="41" t="n"/>
      <c r="C10" s="48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n"/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待查</t>
        </is>
      </c>
      <c r="D14" s="41" t="n"/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n"/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待查</t>
        </is>
      </c>
      <c r="D16" s="41" t="n"/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n"/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n"/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待查</t>
        </is>
      </c>
      <c r="D19" s="41" t="n"/>
      <c r="E19" s="46" t="n"/>
      <c r="F19" s="47" t="n"/>
    </row>
    <row r="20" ht="22.05" customHeight="1" s="42">
      <c r="A20" s="9" t="inlineStr">
        <is>
          <t>市场已定价</t>
        </is>
      </c>
      <c r="B20" s="41" t="n"/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41" t="n"/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3" t="n"/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8" t="n">
        <v>0.2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3" t="n"/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8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4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4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4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4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7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4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n"/>
      <c r="C21" s="41" t="n"/>
      <c r="D21" s="41" t="n"/>
      <c r="E21" s="41" t="n"/>
      <c r="F21" s="48" t="inlineStr">
        <is>
          <t>中</t>
        </is>
      </c>
    </row>
    <row r="22" ht="36" customHeight="1" s="42">
      <c r="A22" s="2" t="inlineStr">
        <is>
          <t>2</t>
        </is>
      </c>
      <c r="B22" s="41" t="n"/>
      <c r="C22" s="41" t="n"/>
      <c r="D22" s="41" t="n"/>
      <c r="E22" s="41" t="n"/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n"/>
      <c r="C23" s="41" t="n"/>
      <c r="D23" s="41" t="n"/>
      <c r="E23" s="41" t="n"/>
      <c r="F23" s="48" t="inlineStr">
        <is>
          <t>中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n"/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n"/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n"/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n"/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n"/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n"/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待判</t>
        </is>
      </c>
      <c r="C35" s="41" t="n"/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待判</t>
        </is>
      </c>
      <c r="C36" s="41" t="n"/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待判</t>
        </is>
      </c>
      <c r="C37" s="41" t="n"/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待判</t>
        </is>
      </c>
      <c r="C38" s="41" t="n"/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待判</t>
        </is>
      </c>
      <c r="C39" s="41" t="n"/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待判</t>
        </is>
      </c>
      <c r="C40" s="41" t="n"/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63" t="inlineStr">
        <is>
          <t>初筛结论：排除。停止建模，不计算F、Z、M，不给Bear、Base、Bull。云端无 Excel，汇总按模板公式计算。闸门按初筛表公式：五项里只要有「否」就排除。本次第3、第4、第5项为否。排除理由：第一，2025年经营现金流净额-9.88亿元，不满足“经营现金流为正”。第二，扣非后归母净亏损859.17亿元，2024年扣非后也亏453.94亿元，主业利润站不住。第三，雅虎口径有息负债3458.59亿元，现金672.41亿元，利息费用85.02亿元，营业利润-710.0亿元。三条里前两条各自都够停。当日事实来自2026-09-29收盘复盘，不来自盘中高点：收盘4.08元，涨9.97%，成交额31.77亿元，开板2次，封单资金2.20亿元，是涨停池里成交额最大的一只。行业事实：腾讯房地产行业涨4.06%，复盘把它写成最强行业主线，代表是万科A。对应文本是9月28日国常会提出研究出台稳定房地产市场，以及上海商品住房销售制度实施意见的转述。复盘写明这不是已经落地的限购或收储细则，也没有核成9月29日的公司新合同。要闻正文没有点名万科。不把要闻里的锂价、电池规划或AMD收购外推到这只股票。近1到3个月价格方向偏多，只描述涨停，不改变排除。内在价值未建模。动作：排除。估值区间公式在情景未填时为「未完成」。仓位上限未计算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41" t="inlineStr">
        <is>
          <t>收入构成 / 客户与定价 / 护城河来源及 ROIC 验证 / 管理层与股权 / 近 12 个月大事：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41" t="inlineStr">
        <is>
          <t>周期位置 / 份额 / 议价 / 2–4 家对标（增长、毛利、ROIC、杠杆、估值） / 会改变利润池的政策：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41" t="inlineStr">
        <is>
          <t>五年趋势（收入、毛利率、扣非、OCF、FCF、ROIC） / 法务会计（应计、现金转化、应收存货、一次性） / 可信度等级：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41" t="inlineStr">
        <is>
          <t>相对：当前倍数 vs 五年分位 vs 同行。绝对：Bull/Base/Bear 关键变量与价格。共识 vs 我的分歧：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41" t="inlineStr">
        <is>
          <t>叙事一句 / 拥挤度 / 一致预期。市场已定价 vs 我额外押的：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41" t="inlineStr">
        <is>
          <t>事件 | 若兑现看什么数字 | 若不兑现怎么办：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41" t="inlineStr">
        <is>
          <t>一年后失败的三个原因；每条监控信号。至少一条攻击核心论点：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41" t="inlineStr">
        <is>
          <t>仓位上限 / 建仓区间 / 证伪条件 / 下次复盘日。技术面若用，只服务时点：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2026-09-29T19:11:53Z</dcterms:modified>
  <cp:lastModifiedBy>张哥</cp:lastModifiedBy>
</cp:coreProperties>
</file>