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7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48" t="inlineStr">
        <is>
          <t>P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48" t="inlineStr">
        <is>
          <t>Everpure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48" t="inlineStr">
        <is>
          <t>美股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3" t="n">
        <v>46290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4" t="n">
        <v>121.88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48" t="inlineStr">
        <is>
          <t>USD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48" t="inlineStr">
        <is>
          <t>企业数据存储与订阅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48" t="inlineStr">
        <is>
          <t>FY2026（截至2026-01-31）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5" t="inlineStr">
        <is>
          <t>GAAP利润和经营现金流都为正，但9月24日收盘已经把初步的FY2028非GAAP展望定在价格里，基准情景远低于现价。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48" t="inlineStr">
        <is>
          <t>贵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48" t="inlineStr">
        <is>
          <t>偏空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48" t="inlineStr">
        <is>
          <t>等待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48" t="inlineStr">
        <is>
          <t>B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48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5" t="inlineStr">
        <is>
          <t>现价接近牛市情景，而牛市用的是FY2028非GAAP经营利润中枢；若FY2027收入指引下修，倍数和盈利会一起回落。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48" t="inlineStr">
        <is>
          <t>是</t>
        </is>
      </c>
      <c r="D6" s="65" t="inlineStr">
        <is>
          <t>卖企业级闪存阵列和数据管理软件，并按订阅提供Evergreen。雅虎公司简介点名FlashArray、FlashBlade、Portworx。FY2026收入见财务报表。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48" t="inlineStr">
        <is>
          <t>是</t>
        </is>
      </c>
      <c r="D7" s="65" t="inlineStr">
        <is>
          <t>机构持股比例雅虎为0.853，这是持仓水平不是方向。FY2026普通股股数没有增加，并有股份回购。不是融资壳。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48" t="inlineStr">
        <is>
          <t>是</t>
        </is>
      </c>
      <c r="D8" s="65" t="inlineStr">
        <is>
          <t>FY2026经营现金流880.1百万美元，净利润188.2，均为正且现金更高。雅虎现金流量表，财年截止2026-01-31。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48" t="inlineStr">
        <is>
          <t>是</t>
        </is>
      </c>
      <c r="D9" s="65" t="inlineStr">
        <is>
          <t>有息负债216.7，现金及等价物854.9，净现金。利息支出FY2026为3.4。短债不构成滚续问题。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48" t="inlineStr">
        <is>
          <t>是</t>
        </is>
      </c>
      <c r="D10" s="65" t="inlineStr">
        <is>
          <t>FY2026净利润188.2，经营溢利114.8。主业为数据存储，不是补贴。非GAAP经营利润远高于GAAP，模型里会分开，不把非GAAP当作已实现利润。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5" t="inlineStr">
        <is>
          <t>向企业出售闪存阵列和存储软件，并收取订阅。成本主要是硬件成本和研发、销售费用。FY2026收入和毛利见财务表。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inlineStr">
        <is>
          <t>FY2022</t>
        </is>
      </c>
      <c r="C6" s="25" t="inlineStr">
        <is>
          <t>FY2023</t>
        </is>
      </c>
      <c r="D6" s="25" t="inlineStr">
        <is>
          <t>FY2024</t>
        </is>
      </c>
      <c r="E6" s="25" t="inlineStr">
        <is>
          <t>FY2025</t>
        </is>
      </c>
      <c r="F6" s="25" t="inlineStr">
        <is>
          <t>FY2026</t>
        </is>
      </c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百万美元</t>
        </is>
      </c>
    </row>
    <row r="7" ht="20" customHeight="1" s="42">
      <c r="A7" s="9" t="inlineStr">
        <is>
          <t>营业收入</t>
        </is>
      </c>
      <c r="B7" s="64" t="n"/>
      <c r="C7" s="64" t="n">
        <v>2753.434</v>
      </c>
      <c r="D7" s="64" t="n">
        <v>2830.621</v>
      </c>
      <c r="E7" s="64" t="n">
        <v>3168.164</v>
      </c>
      <c r="F7" s="64" t="n">
        <v>3662.843</v>
      </c>
      <c r="G7" s="76">
        <f>IF(OR(E7="",E7=0,F7=""),"",(F7-E7)/E7)</f>
        <v/>
      </c>
      <c r="H7" s="28" t="inlineStr">
        <is>
          <t>Total Revenue</t>
        </is>
      </c>
      <c r="I7" s="41" t="inlineStr">
        <is>
          <t>雅虎财务报表，财年截止1月31日。FY2022待查。百万美元。</t>
        </is>
      </c>
    </row>
    <row r="8" ht="20" customHeight="1" s="42">
      <c r="A8" s="9" t="inlineStr">
        <is>
          <t>毛利</t>
        </is>
      </c>
      <c r="B8" s="64" t="n"/>
      <c r="C8" s="64" t="n">
        <v>1897.646</v>
      </c>
      <c r="D8" s="64" t="n">
        <v>2021.191</v>
      </c>
      <c r="E8" s="64" t="n">
        <v>2212.709</v>
      </c>
      <c r="F8" s="64" t="n">
        <v>2577.953</v>
      </c>
      <c r="G8" s="76">
        <f>IF(OR(E8="",E8=0,F8=""),"",(F8-E8)/E8)</f>
        <v/>
      </c>
      <c r="H8" s="28" t="inlineStr">
        <is>
          <t>Gross Profit</t>
        </is>
      </c>
      <c r="I8" s="41" t="inlineStr">
        <is>
          <t>雅虎财务报表，财年截止1月31日。FY2022待查。百万美元。</t>
        </is>
      </c>
    </row>
    <row r="9" ht="20" customHeight="1" s="42">
      <c r="A9" s="9" t="inlineStr">
        <is>
          <t>毛利率</t>
        </is>
      </c>
      <c r="B9" s="77" t="n"/>
      <c r="C9" s="77" t="n">
        <v>0.6891924774663202</v>
      </c>
      <c r="D9" s="77" t="n">
        <v>0.7140450805671265</v>
      </c>
      <c r="E9" s="77" t="n">
        <v>0.6984199681582139</v>
      </c>
      <c r="F9" s="77" t="n">
        <v>0.7038120388998382</v>
      </c>
      <c r="G9" s="76">
        <f>IF(OR(E9="",F9=""),"",F9-E9)</f>
        <v/>
      </c>
      <c r="H9" s="76">
        <f>IF(OR(F7="",F7=0,F8=""),"",F8/F7)</f>
        <v/>
      </c>
      <c r="I9" s="41" t="inlineStr">
        <is>
          <t>毛利除以收入。</t>
        </is>
      </c>
    </row>
    <row r="10" ht="20" customHeight="1" s="42">
      <c r="A10" s="9" t="inlineStr">
        <is>
          <t>扣非净利润</t>
        </is>
      </c>
      <c r="B10" s="64" t="n"/>
      <c r="C10" s="64" t="n">
        <v>73.071</v>
      </c>
      <c r="D10" s="64" t="n">
        <v>61.311</v>
      </c>
      <c r="E10" s="64" t="n">
        <v>106.739</v>
      </c>
      <c r="F10" s="64" t="n">
        <v>188.181</v>
      </c>
      <c r="G10" s="76">
        <f>IF(OR(E10="",E10=0,F10=""),"",(F10-E10)/E10)</f>
        <v/>
      </c>
      <c r="H10" s="28" t="inlineStr">
        <is>
          <t>Net Income</t>
        </is>
      </c>
      <c r="I10" s="41" t="inlineStr">
        <is>
          <t>美国报表没有A股扣非。净利润连续四年为正，这里用净利润，不把非GAAP加回。</t>
        </is>
      </c>
    </row>
    <row r="11" ht="20" customHeight="1" s="42">
      <c r="A11" s="9" t="inlineStr">
        <is>
          <t>净利润</t>
        </is>
      </c>
      <c r="B11" s="64" t="n"/>
      <c r="C11" s="64" t="n">
        <v>73.071</v>
      </c>
      <c r="D11" s="64" t="n">
        <v>61.311</v>
      </c>
      <c r="E11" s="64" t="n">
        <v>106.739</v>
      </c>
      <c r="F11" s="64" t="n">
        <v>188.181</v>
      </c>
      <c r="G11" s="76">
        <f>IF(OR(E11="",E11=0,F11=""),"",(F11-E11)/E11)</f>
        <v/>
      </c>
      <c r="H11" s="28" t="inlineStr">
        <is>
          <t>Net Income</t>
        </is>
      </c>
      <c r="I11" s="41" t="inlineStr">
        <is>
          <t>雅虎财务报表，财年截止1月31日。FY2022待查。百万美元。</t>
        </is>
      </c>
    </row>
    <row r="12" ht="20" customHeight="1" s="42">
      <c r="A12" s="9" t="inlineStr">
        <is>
          <t>经营现金流</t>
        </is>
      </c>
      <c r="B12" s="64" t="n"/>
      <c r="C12" s="64" t="n">
        <v>767.234</v>
      </c>
      <c r="D12" s="64" t="n">
        <v>677.722</v>
      </c>
      <c r="E12" s="64" t="n">
        <v>753.598</v>
      </c>
      <c r="F12" s="64" t="n">
        <v>880.085</v>
      </c>
      <c r="G12" s="76">
        <f>IF(OR(E12="",E12=0,F12=""),"",(F12-E12)/E12)</f>
        <v/>
      </c>
      <c r="H12" s="78">
        <f>IF(OR(F11="",F11=0,F12=""),"",F12/F11)</f>
        <v/>
      </c>
      <c r="I12" s="65" t="inlineStr">
        <is>
          <t>雅虎财务报表，财年截止1月31日。FY2022待查。百万美元。 Operating Cash Flow</t>
        </is>
      </c>
    </row>
    <row r="13" ht="20" customHeight="1" s="42">
      <c r="A13" s="9" t="inlineStr">
        <is>
          <t>资本开支</t>
        </is>
      </c>
      <c r="B13" s="64" t="n"/>
      <c r="C13" s="64" t="n">
        <v>158.139</v>
      </c>
      <c r="D13" s="64" t="n">
        <v>195.161</v>
      </c>
      <c r="E13" s="64" t="n">
        <v>226.727</v>
      </c>
      <c r="F13" s="64" t="n">
        <v>264.344</v>
      </c>
      <c r="G13" s="76">
        <f>IF(OR(E13="",E13=0,F13=""),"",(F13-E13)/E13)</f>
        <v/>
      </c>
      <c r="H13" s="28" t="inlineStr">
        <is>
          <t>abs(Capex)</t>
        </is>
      </c>
      <c r="I13" s="41" t="inlineStr">
        <is>
          <t>资本开支取现金流量表购建支出的绝对值。</t>
        </is>
      </c>
    </row>
    <row r="14" ht="20" customHeight="1" s="42">
      <c r="A14" s="9" t="inlineStr">
        <is>
          <t>自由现金流</t>
        </is>
      </c>
      <c r="B14" s="64" t="n"/>
      <c r="C14" s="64" t="n">
        <v>609.095</v>
      </c>
      <c r="D14" s="64" t="n">
        <v>482.561</v>
      </c>
      <c r="E14" s="64" t="n">
        <v>526.871</v>
      </c>
      <c r="F14" s="64" t="n">
        <v>615.741</v>
      </c>
      <c r="G14" s="76">
        <f>IF(OR(E14="",E14=0,F14=""),"",(F14-E14)/E14)</f>
        <v/>
      </c>
      <c r="H14" s="79">
        <f>IF(OR(F12="",F13=""),"",F12-F13)</f>
        <v/>
      </c>
      <c r="I14" s="65" t="inlineStr">
        <is>
          <t>经营现金流减资本开支。与雅虎info里的freeCashflow字段不一致，不用那个字段。 OCF-Capex</t>
        </is>
      </c>
    </row>
    <row r="15" ht="20" customHeight="1" s="42">
      <c r="A15" s="9" t="inlineStr">
        <is>
          <t>ROE</t>
        </is>
      </c>
      <c r="B15" s="77" t="n"/>
      <c r="C15" s="77" t="n">
        <v>0.07763327465144125</v>
      </c>
      <c r="D15" s="77" t="n">
        <v>0.04827280500498388</v>
      </c>
      <c r="E15" s="77" t="n">
        <v>0.08169999425936203</v>
      </c>
      <c r="F15" s="77" t="n">
        <v>0.1301688907826694</v>
      </c>
      <c r="G15" s="76">
        <f>IF(OR(E15="",F15=""),"",F15-E15)</f>
        <v/>
      </c>
      <c r="H15" s="28" t="inlineStr">
        <is>
          <t>期末ROE</t>
        </is>
      </c>
      <c r="I15" s="41" t="inlineStr">
        <is>
          <t>净利润除以期末股东权益。留存收益仍为累计亏损。</t>
        </is>
      </c>
    </row>
    <row r="16" ht="20" customHeight="1" s="42">
      <c r="A16" s="9" t="inlineStr">
        <is>
          <t>ROIC</t>
        </is>
      </c>
      <c r="B16" s="77" t="n"/>
      <c r="C16" s="77" t="n">
        <v>0.04128192148056638</v>
      </c>
      <c r="D16" s="77" t="n">
        <v>0.0474218227555137</v>
      </c>
      <c r="E16" s="77" t="n">
        <v>0.05346052962743201</v>
      </c>
      <c r="F16" s="77" t="n">
        <v>0.05794938119922474</v>
      </c>
      <c r="G16" s="76">
        <f>IF(OR(E16="",F16=""),"",F16-E16)</f>
        <v/>
      </c>
      <c r="H16" s="28" t="inlineStr">
        <is>
          <t>近似ROIC</t>
        </is>
      </c>
      <c r="I16" s="65" t="inlineStr">
        <is>
          <t>经营溢利×（1-0.161）除以（期末股东权益+有息负债）。税率用FY2026所得税/除税前溢利，套到各年，是近似。</t>
        </is>
      </c>
    </row>
    <row r="17" ht="20" customHeight="1" s="42">
      <c r="A17" s="9" t="inlineStr">
        <is>
          <t>总资产</t>
        </is>
      </c>
      <c r="B17" s="64" t="n"/>
      <c r="C17" s="64" t="n">
        <v>3543.46</v>
      </c>
      <c r="D17" s="64" t="n">
        <v>3655.76</v>
      </c>
      <c r="E17" s="64" t="n">
        <v>3963.942</v>
      </c>
      <c r="F17" s="64" t="n">
        <v>4674.259</v>
      </c>
      <c r="G17" s="76">
        <f>IF(OR(E17="",E17=0,F17=""),"",(F17-E17)/E17)</f>
        <v/>
      </c>
      <c r="H17" s="28" t="n"/>
      <c r="I17" s="41" t="inlineStr">
        <is>
          <t>雅虎财务报表，财年截止1月31日。FY2022待查。百万美元。</t>
        </is>
      </c>
    </row>
    <row r="18" ht="20" customHeight="1" s="42">
      <c r="A18" s="9" t="inlineStr">
        <is>
          <t>有息负债</t>
        </is>
      </c>
      <c r="B18" s="64" t="n"/>
      <c r="C18" s="64" t="n">
        <v>756.1180000000001</v>
      </c>
      <c r="D18" s="64" t="n">
        <v>272.073</v>
      </c>
      <c r="E18" s="64" t="n">
        <v>281.153</v>
      </c>
      <c r="F18" s="64" t="n">
        <v>216.715</v>
      </c>
      <c r="G18" s="76">
        <f>IF(OR(E18="",E18=0,F18=""),"",(F18-E18)/E18)</f>
        <v/>
      </c>
      <c r="H18" s="28" t="n"/>
      <c r="I18" s="41" t="inlineStr">
        <is>
          <t>Total Debt，近年主要是租赁。</t>
        </is>
      </c>
    </row>
    <row r="19" ht="20" customHeight="1" s="42">
      <c r="A19" s="9" t="inlineStr">
        <is>
          <t>现金及等价物</t>
        </is>
      </c>
      <c r="B19" s="64" t="n"/>
      <c r="C19" s="64" t="n">
        <v>580.854</v>
      </c>
      <c r="D19" s="64" t="n">
        <v>702.5359999999999</v>
      </c>
      <c r="E19" s="64" t="n">
        <v>723.583</v>
      </c>
      <c r="F19" s="64" t="n">
        <v>854.873</v>
      </c>
      <c r="G19" s="76">
        <f>IF(OR(E19="",E19=0,F19=""),"",(F19-E19)/E19)</f>
        <v/>
      </c>
      <c r="H19" s="28" t="inlineStr">
        <is>
          <t>含短投FY2026 1547.3</t>
        </is>
      </c>
      <c r="I19" s="65" t="inlineStr">
        <is>
          <t>Cash And Cash Equivalents。短投另计，FY2026现金及短投合计见备注。</t>
        </is>
      </c>
    </row>
    <row r="20" ht="20" customHeight="1" s="42">
      <c r="A20" s="9" t="inlineStr">
        <is>
          <t>净负债</t>
        </is>
      </c>
      <c r="B20" s="64" t="n"/>
      <c r="C20" s="64" t="n">
        <v>175.264</v>
      </c>
      <c r="D20" s="64" t="n">
        <v>-430.463</v>
      </c>
      <c r="E20" s="64" t="n">
        <v>-442.4299999999999</v>
      </c>
      <c r="F20" s="64" t="n">
        <v>-638.158</v>
      </c>
      <c r="G20" s="76">
        <f>IF(OR(E20="",E20=0,F20=""),"",(F20-E20)/E20)</f>
        <v/>
      </c>
      <c r="H20" s="79">
        <f>IF(OR(F18="",F19=""),"",F18-F19)</f>
        <v/>
      </c>
      <c r="I20" s="41" t="inlineStr">
        <is>
          <t>有息负债减现金及等价物。</t>
        </is>
      </c>
    </row>
    <row r="21" ht="20" customHeight="1" s="42">
      <c r="A21" s="9" t="inlineStr">
        <is>
          <t>商誉</t>
        </is>
      </c>
      <c r="B21" s="64" t="n"/>
      <c r="C21" s="64" t="n">
        <v>361.427</v>
      </c>
      <c r="D21" s="64" t="n">
        <v>361.427</v>
      </c>
      <c r="E21" s="64" t="n">
        <v>361.427</v>
      </c>
      <c r="F21" s="64" t="n">
        <v>365.075</v>
      </c>
      <c r="G21" s="76">
        <f>IF(OR(E21="",E21=0,F21=""),"",(F21-E21)/E21)</f>
        <v/>
      </c>
      <c r="H21" s="28" t="n"/>
      <c r="I21" s="41" t="inlineStr">
        <is>
          <t>雅虎财务报表，财年截止1月31日。FY2022待查。百万美元。</t>
        </is>
      </c>
    </row>
    <row r="22" ht="20" customHeight="1" s="42">
      <c r="A22" s="9" t="inlineStr">
        <is>
          <t>应收账款</t>
        </is>
      </c>
      <c r="B22" s="64" t="n"/>
      <c r="C22" s="64" t="n">
        <v>612.491</v>
      </c>
      <c r="D22" s="64" t="n">
        <v>662.179</v>
      </c>
      <c r="E22" s="64" t="n">
        <v>680.862</v>
      </c>
      <c r="F22" s="64" t="n">
        <v>944.8440000000001</v>
      </c>
      <c r="G22" s="76">
        <f>IF(OR(E22="",E22=0,F22=""),"",(F22-E22)/E22)</f>
        <v/>
      </c>
      <c r="H22" s="28" t="n"/>
      <c r="I22" s="41" t="inlineStr">
        <is>
          <t>雅虎财务报表，财年截止1月31日。FY2022待查。百万美元。</t>
        </is>
      </c>
    </row>
    <row r="23" ht="20" customHeight="1" s="42">
      <c r="A23" s="9" t="inlineStr">
        <is>
          <t>存货</t>
        </is>
      </c>
      <c r="B23" s="64" t="n"/>
      <c r="C23" s="64" t="n">
        <v>50.152</v>
      </c>
      <c r="D23" s="64" t="n">
        <v>42.663</v>
      </c>
      <c r="E23" s="64" t="n">
        <v>42.81</v>
      </c>
      <c r="F23" s="64" t="n">
        <v>75.935</v>
      </c>
      <c r="G23" s="76">
        <f>IF(OR(E23="",E23=0,F23=""),"",(F23-E23)/E23)</f>
        <v/>
      </c>
      <c r="H23" s="28" t="n"/>
      <c r="I23" s="41" t="inlineStr">
        <is>
          <t>雅虎财务报表，财年截止1月31日。FY2022待查。百万美元。</t>
        </is>
      </c>
    </row>
    <row r="24" ht="20" customHeight="1" s="42">
      <c r="A24" s="9" t="inlineStr">
        <is>
          <t>股本（稀释后）</t>
        </is>
      </c>
      <c r="B24" s="64" t="n"/>
      <c r="C24" s="64" t="n">
        <v>304.076</v>
      </c>
      <c r="D24" s="64" t="n">
        <v>319.523</v>
      </c>
      <c r="E24" s="64" t="n">
        <v>326.102</v>
      </c>
      <c r="F24" s="64" t="n">
        <v>326.102</v>
      </c>
      <c r="G24" s="76">
        <f>IF(OR(E24="",E24=0,F24=""),"",(F24-E24)/E24)</f>
        <v/>
      </c>
      <c r="H24" s="28" t="n"/>
      <c r="I24" s="41" t="inlineStr">
        <is>
          <t>Ordinary Shares Number，百万股，不是稀释股数。</t>
        </is>
      </c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65" t="inlineStr">
        <is>
          <t>FY2023至FY2026收入从2753增至3663，净利润从73增至188，自由现金流FY2026为616。方向同向，但GAAP经营利润率仍然薄。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65" t="inlineStr">
        <is>
          <t>毛利率维持在0.70附近。FY2026研发963、销售管理费用1500，经营溢利只有115。利润率没有随非GAAP故事同步扩大。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65" t="inlineStr">
        <is>
          <t>按GAAP经营溢利计算的近似ROIC为0.058，低于长端美债已经到多年高位这一背景所要求的回报。留存收益仍是累计亏损-1181。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65" t="inlineStr">
        <is>
          <t>FY2026经营现金流880高于净利润188。截至2026-07-31的最近一季经营现金流为-136.3，单季为负，但最近完整财年仍为正。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65" t="inlineStr">
        <is>
          <t>净现金。商誉365，约占总资产0.078。应收从681升至945，快于收入，是Beneish的DSRI来源。存货仍小。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4" t="n">
        <v>106.739</v>
      </c>
      <c r="C7" s="64" t="n">
        <v>188.181</v>
      </c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4" t="n">
        <v>3963.942</v>
      </c>
      <c r="C8" s="64" t="n">
        <v>4674.259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4" t="n">
        <v>753.598</v>
      </c>
      <c r="C9" s="64" t="n">
        <v>880.085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4" t="n">
        <v>281.153</v>
      </c>
      <c r="C10" s="64" t="n">
        <v>216.715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4" t="n">
        <v>2567.279</v>
      </c>
      <c r="C11" s="64" t="n">
        <v>3063.492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4" t="n">
        <v>1596.541</v>
      </c>
      <c r="C12" s="64" t="n">
        <v>1909.99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4" t="n">
        <v>326.102</v>
      </c>
      <c r="C13" s="64" t="n">
        <v>326.102</v>
      </c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4" t="n">
        <v>2212.709</v>
      </c>
      <c r="C14" s="64" t="n">
        <v>2577.953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4" t="n">
        <v>3168.164</v>
      </c>
      <c r="C15" s="64" t="n">
        <v>3662.843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4" t="n">
        <v>-1369.012</v>
      </c>
      <c r="C16" s="64" t="n">
        <v>-1180.831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4" t="n">
        <v>101.159</v>
      </c>
      <c r="C17" s="64" t="n">
        <v>114.816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4" t="n">
        <v>2657.467</v>
      </c>
      <c r="C18" s="64" t="n">
        <v>3228.591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64" t="n"/>
      <c r="C19" s="64" t="n">
        <v>40613.73735187999</v>
      </c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64" t="n"/>
      <c r="C20" s="64" t="n"/>
      <c r="D20" s="45" t="inlineStr">
        <is>
          <t>留空则用右边自动值</t>
        </is>
      </c>
      <c r="E20" s="79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4" t="n">
        <v>680.862</v>
      </c>
      <c r="C21" s="64" t="n">
        <v>944.8440000000001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4" t="n">
        <v>608.386</v>
      </c>
      <c r="C22" s="64" t="n">
        <v>772.997</v>
      </c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64" t="n">
        <v>126.654</v>
      </c>
      <c r="C23" s="64" t="n">
        <v>147.815</v>
      </c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4" t="n">
        <v>1307.145</v>
      </c>
      <c r="C24" s="64" t="n">
        <v>1499.846</v>
      </c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0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0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0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0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0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0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0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0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有</t>
        </is>
      </c>
      <c r="C7" s="41" t="inlineStr">
        <is>
          <t>Purity软件和存储协议是产品无形资产。毛利率约0.70。专利诉讼细节待查。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有</t>
        </is>
      </c>
      <c r="C8" s="65" t="inlineStr">
        <is>
          <t>阵列和数据协议一旦进入生产环境，替换成本高。没有拿到公司披露的续约率，强度不做满。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无</t>
        </is>
      </c>
      <c r="C9" s="41" t="inlineStr">
        <is>
          <t>存储阵列不是用户之间的双边网络。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弱</t>
        </is>
      </c>
      <c r="C10" s="65" t="inlineStr">
        <is>
          <t>软件让毛利高，但GAAP经营利润率FY2026只有经营溢利除以收入。硬件同行仍可竞争。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弱</t>
        </is>
      </c>
      <c r="C11" s="41" t="inlineStr">
        <is>
          <t>企业存储不是只能容下一家的利基。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65" t="inlineStr">
        <is>
          <t>GAAP近似ROIC 0.058。非GAAP经营利润高很多，但那是公司调整后的数字，不把它当成已经赚到的ROIC。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>
        <v>166.958904109589</v>
      </c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>
        <v>28.0934055065755</v>
      </c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>
        <v>106.4669706873978</v>
      </c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>
        <v>0.01516090466300062</v>
      </c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7" t="n">
        <v>0.25</v>
      </c>
      <c r="C25" s="64" t="n">
        <v>0.73</v>
      </c>
      <c r="D25" s="81" t="n">
        <v>25</v>
      </c>
      <c r="E25" s="79">
        <f>IF(OR(C25="",D25=""),"",C25*D25)</f>
        <v/>
      </c>
      <c r="F25" s="76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7" t="n">
        <v>0.5</v>
      </c>
      <c r="C26" s="64" t="n">
        <v>2.344348473101855</v>
      </c>
      <c r="D26" s="81" t="n">
        <v>28</v>
      </c>
      <c r="E26" s="79">
        <f>IF(OR(C26="",D26=""),"",C26*D26)</f>
        <v/>
      </c>
      <c r="F26" s="76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7" t="n">
        <v>0.25</v>
      </c>
      <c r="C27" s="64" t="n">
        <v>4.377547720940764</v>
      </c>
      <c r="D27" s="81" t="n">
        <v>30</v>
      </c>
      <c r="E27" s="79">
        <f>IF(OR(C27="",D27=""),"",C27*D27)</f>
        <v/>
      </c>
      <c r="F27" s="76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79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6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65" t="inlineStr">
        <is>
          <t>公司重申FY2027收入50.3至50.7亿美元，约增37%至38%。这是指引不是已实现数。</t>
        </is>
      </c>
      <c r="C35" s="65" t="inlineStr">
        <is>
          <t>基准不直接用收入增速，而用FY2027非GAAP经营利润中枢9.50亿美元做税后每股盈利。</t>
        </is>
      </c>
      <c r="D35" s="65" t="inlineStr">
        <is>
          <t>FY2023至FY2026收入年复合约10%，低于指引里的38%。五年市盈率中位数待查。</t>
        </is>
      </c>
      <c r="E35" s="41" t="inlineStr">
        <is>
          <t>我接受指引作为情景输入，但不接受现价已经用的倍数。</t>
        </is>
      </c>
      <c r="F35" s="41" t="inlineStr">
        <is>
          <t>PR Newswire 2026-09-23；雅虎FY2026收入。</t>
        </is>
      </c>
    </row>
    <row r="36" ht="24" customHeight="1" s="42">
      <c r="A36" s="9" t="inlineStr">
        <is>
          <t>利润率</t>
        </is>
      </c>
      <c r="B36" s="65" t="inlineStr">
        <is>
          <t>非GAAP经营利润指引FY2027为9.40至9.60亿美元，FY2028为17至19亿美元。</t>
        </is>
      </c>
      <c r="C36" s="65" t="inlineStr">
        <is>
          <t>FY2026 GAAP经营溢利只有115百万美元。基准把9.50亿非GAAP经营利润按FY2026实际税率0.161打税。</t>
        </is>
      </c>
      <c r="D36" s="41" t="inlineStr">
        <is>
          <t>FY2026 GAAP经营利润率0.031。</t>
        </is>
      </c>
      <c r="E36" s="41" t="inlineStr">
        <is>
          <t>预期差在GAAP与非GAAP的距离，以及倍数。</t>
        </is>
      </c>
      <c r="F36" s="41" t="inlineStr">
        <is>
          <t>雅虎利润表；公司指引。</t>
        </is>
      </c>
    </row>
    <row r="37" ht="24" customHeight="1" s="42">
      <c r="A37" s="9" t="inlineStr">
        <is>
          <t>FCF / 派息</t>
        </is>
      </c>
      <c r="B37" s="41" t="inlineStr">
        <is>
          <t>分析师会议没有把自由现金流当成FY2028的主指引。</t>
        </is>
      </c>
      <c r="C37" s="41" t="inlineStr">
        <is>
          <t>FY2026自由现金流616百万美元，对市值的收益率0.015。</t>
        </is>
      </c>
      <c r="D37" s="41" t="inlineStr">
        <is>
          <t>截至2026-07-31的四个季度经营现金流合计仍为正，但最近一季为负。</t>
        </is>
      </c>
      <c r="E37" s="41" t="inlineStr">
        <is>
          <t>现金质量好于GAAP利润，仍远不够支撑现价。</t>
        </is>
      </c>
      <c r="F37" s="41" t="inlineStr">
        <is>
          <t>雅虎现金流量表。</t>
        </is>
      </c>
    </row>
    <row r="38" ht="24" customHeight="1" s="42">
      <c r="A38" s="9" t="inlineStr">
        <is>
          <t>竞争格局</t>
        </is>
      </c>
      <c r="B38" s="41" t="inlineStr">
        <is>
          <t>企业存储加上订阅，市场把它交易成AI资本开支链条。</t>
        </is>
      </c>
      <c r="C38" s="41" t="inlineStr">
        <is>
          <t>要闻里的甲骨文不可抗力没有点名Everpure，不写成订单。</t>
        </is>
      </c>
      <c r="D38" s="41" t="inlineStr">
        <is>
          <t>存储行业竞争者仍在，单一同行中位数待查。</t>
        </is>
      </c>
      <c r="E38" s="41" t="inlineStr">
        <is>
          <t>不把未点名的算力园区算进收入。</t>
        </is>
      </c>
      <c r="F38" s="41" t="inlineStr">
        <is>
          <t>output/brief/2026-09-25/brief.md。</t>
        </is>
      </c>
    </row>
    <row r="39" ht="24" customHeight="1" s="42">
      <c r="A39" s="9" t="inlineStr">
        <is>
          <t>倍数/折现率</t>
        </is>
      </c>
      <c r="B39" s="41" t="inlineStr">
        <is>
          <t>9月24日收盘对应TTM摊薄每股盈利0.73的市盈率167.0。</t>
        </is>
      </c>
      <c r="C39" s="41" t="inlineStr">
        <is>
          <t>基准每股盈利2.34×28倍。</t>
        </is>
      </c>
      <c r="D39" s="41" t="inlineStr">
        <is>
          <t>自身五年中位数待查。</t>
        </is>
      </c>
      <c r="E39" s="41" t="inlineStr">
        <is>
          <t>现价121.88高于概率加权70.21，也高于基准。</t>
        </is>
      </c>
      <c r="F39" s="41" t="inlineStr">
        <is>
          <t>情景为假设。收盘价来自复盘。</t>
        </is>
      </c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65" t="inlineStr">
        <is>
          <t>9月24日的标题集中在分析师会议和FY2028收入70至73亿美元。复盘写收盘涨11.15%至121.88美元。</t>
        </is>
      </c>
      <c r="C7" s="48" t="inlineStr">
        <is>
          <t>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inlineStr">
        <is>
          <t>雅虎新闻标题2026-09-24至09-25；收盘复盘。</t>
        </is>
      </c>
    </row>
    <row r="8" ht="36" customHeight="1" s="42">
      <c r="A8" s="9" t="inlineStr">
        <is>
          <t>社交与散户</t>
        </is>
      </c>
      <c r="B8" s="65" t="inlineStr">
        <is>
          <t>社交提及量待查。9月24日成交额14.20亿美元，20日里还有9月18日的异常放量。</t>
        </is>
      </c>
      <c r="C8" s="48" t="inlineStr">
        <is>
          <t>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inlineStr">
        <is>
          <t>雅虎日线。9月24日成交量11,654,600股乘121.88美元。</t>
        </is>
      </c>
    </row>
    <row r="9" ht="36" customHeight="1" s="42">
      <c r="A9" s="9" t="inlineStr">
        <is>
          <t>卖方与资金</t>
        </is>
      </c>
      <c r="B9" s="65" t="inlineStr">
        <is>
          <t>会前个券商目标价上调见Blockonomi转述，不是完整一致预期。雅虎forwardEps 3.55对应的是抓取时的盘中价，不当作9月24日收盘后的核实共识。</t>
        </is>
      </c>
      <c r="C9" s="48" t="inlineStr">
        <is>
          <t>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inlineStr">
        <is>
          <t>Blockonomi；雅虎forwardEps，抓取日2026-09-25盘中。</t>
        </is>
      </c>
    </row>
    <row r="10" ht="36" customHeight="1" s="42">
      <c r="A10" s="9" t="inlineStr">
        <is>
          <t>期权与波动</t>
        </is>
      </c>
      <c r="B10" s="41" t="inlineStr">
        <is>
          <t>期权IV Rank待查。用成交额代替：9月24日和9月18日放量。</t>
        </is>
      </c>
      <c r="C10" s="48" t="inlineStr">
        <is>
          <t>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inlineStr">
        <is>
          <t>雅虎日线2026-08-26至2026-09-24。</t>
        </is>
      </c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是</t>
        </is>
      </c>
      <c r="D14" s="65" t="inlineStr">
        <is>
          <t>市场叙事是AI存储把FY2028收入带到70亿美元以上，再加上9月21日纳入标普500。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是</t>
        </is>
      </c>
      <c r="D15" s="65" t="inlineStr">
        <is>
          <t>公司指引是非GAAP。我的基准每股盈利2.34，用9.50亿美元非GAAP经营利润和FY2026实际税率，倍数28。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是</t>
        </is>
      </c>
      <c r="D16" s="65" t="inlineStr">
        <is>
          <t>20日涨幅复盘为11.9%，但8月下旬到9月上旬曾从约118美元落到90美元出头，周四是事件日放量。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inlineStr">
        <is>
          <t>雅虎机构持股比例0.853是水平不是方向。没有核对13F的增减。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inlineStr">
        <is>
          <t>没有IV Rank或Put/Call。只用了成交额，不用它冒充期权结论。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是</t>
        </is>
      </c>
      <c r="D19" s="65" t="inlineStr">
        <is>
          <t>已定价的是标普500纳入和FY2028初步展望。我额外押的是这些展望用更低的倍数仍然到不了121.88。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65" t="inlineStr">
        <is>
          <t>9月21日指数纳入的被动买盘，以及9月23日分析师会议给出的FY2028收入和经营利润区间。</t>
        </is>
      </c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65" t="inlineStr">
        <is>
          <t>没有额外的多头。空头一侧的分歧是倍数：即便牛市情景用30倍，也只是略高于或接近现价，概率加权明显更低。</t>
        </is>
      </c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2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7" t="n">
        <v>0.46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2" t="n">
        <v>772231078.022995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7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3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3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3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3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6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3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inlineStr">
        <is>
          <t>FY2028展望是初步且为非GAAP，现价已经按接近牛市的倍数交易。</t>
        </is>
      </c>
      <c r="C21" s="65" t="inlineStr">
        <is>
          <t>牛市价格131.33，现价121.88。GAAP经营溢利FY2026只有115百万美元。</t>
        </is>
      </c>
      <c r="D21" s="41" t="inlineStr">
        <is>
          <t>FY2027季度收入是否仍落在50.3至50.7亿美元的全年指引路径上。</t>
        </is>
      </c>
      <c r="E21" s="41" t="inlineStr">
        <is>
          <t>指引下修则维持等待，不在下跌第一天抄底。</t>
        </is>
      </c>
      <c r="F21" s="48" t="inlineStr">
        <is>
          <t>高</t>
        </is>
      </c>
    </row>
    <row r="22" ht="36" customHeight="1" s="42">
      <c r="A22" s="2" t="inlineStr">
        <is>
          <t>2</t>
        </is>
      </c>
      <c r="B22" s="41" t="inlineStr">
        <is>
          <t>长端利率停在多年高位，高倍数成长股回吐。</t>
        </is>
      </c>
      <c r="C22" s="65" t="inlineStr">
        <is>
          <t>要闻写10年期收益率上行约8个基点至5.20%；复盘写各源不一致，只采用2007年以来高位附近。</t>
        </is>
      </c>
      <c r="D22" s="41" t="inlineStr">
        <is>
          <t>10年期收益率是否仍停在这一带，以及股价是否跌向基准。</t>
        </is>
      </c>
      <c r="E22" s="41" t="inlineStr">
        <is>
          <t>利率不是这只股票的证伪，指引才是。利率只解释为什么不给50倍。</t>
        </is>
      </c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inlineStr">
        <is>
          <t>最近一季经营现金流为负，若变成趋势，FY2026的现金质量就不能外推。</t>
        </is>
      </c>
      <c r="C23" s="65" t="inlineStr">
        <is>
          <t>雅虎季度现金流量表，季度截止2026-07-31，经营现金流-136.3百万美元。</t>
        </is>
      </c>
      <c r="D23" s="41" t="inlineStr">
        <is>
          <t>随后两个季度的经营现金流。</t>
        </is>
      </c>
      <c r="E23" s="41" t="inlineStr">
        <is>
          <t>若连续两季为负，初筛第3项改为否。</t>
        </is>
      </c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inlineStr">
        <is>
          <t>两个季度，核对FY2027指引。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65" t="inlineStr">
        <is>
          <t>不在121.88美元建仓。重新讨论需见基准价附近，且FY2027收入指引没有下修。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65" t="inlineStr">
        <is>
          <t>FY2027收入指引下沿跌破45亿美元，或非GAAP经营利润指引下沿跌破7亿美元。价格补充是从121.88下跌0.46，大约到基准。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inlineStr">
        <is>
          <t>现价不买。若持有，指引下修时减，而不是等牛市价。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inlineStr">
        <is>
          <t>下一份季报。具体日期待查，不编造财报日。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inlineStr">
        <is>
          <t>与AI硬件和数据中心资本开支重叠。甲骨文园区没有点名它，不加这条链条的第二只。</t>
        </is>
      </c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是</t>
        </is>
      </c>
      <c r="C35" s="41" t="inlineStr">
        <is>
          <t>收入在增长，但GAAP经营利润率薄，最近一季自由现金流为负。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否</t>
        </is>
      </c>
      <c r="C36" s="41" t="inlineStr">
        <is>
          <t>净现金，利息支出很小，财务失败不是主路径。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是</t>
        </is>
      </c>
      <c r="C37" s="41" t="inlineStr">
        <is>
          <t>TTM市盈率167.0。贵，仓位公式只是上限。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是</t>
        </is>
      </c>
      <c r="C38" s="65" t="inlineStr">
        <is>
          <t>20日涨幅只有11.9%，但周四单日11.15%，且8月下旬曾快速回撤到90美元附近。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否</t>
        </is>
      </c>
      <c r="C39" s="65" t="inlineStr">
        <is>
          <t>20日日均成交额772231078美元。9月18日放量把均值抬高，中位数301318573。都不约束这个研究仓。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否</t>
        </is>
      </c>
      <c r="C40" s="65" t="inlineStr">
        <is>
          <t>没有看到新的增发。FY2026股数没有增加。治理上的主要问题是非GAAP与GAAP的距离，放在估值而不是否决项。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5" t="inlineStr">
        <is>
          <t>① 内在价值：贵。概率加权价70.21美元，比9月24日收盘121.88低42.4%。② 近月方向：偏空。指数纳入和展望已经反映在周四的收盘里，长端利率处在多年高位。③ 动作：等待。区间：18.25 ~ 131.33 USD。最大风险：现价接近牛市情景，而牛市用的是尚未实现的FY2028非GAAP利润。云端无 Excel，汇总按模板公式计算。 F=7（中），Z=8.35（较安全），M=-2.89（未触发阈值）。Z高主要来自市值除以总负债，不代表便宜。仓位上限1.09%，对应假设组合100万美元里的10870美元。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65" t="inlineStr">
        <is>
          <t>Everpure（代码P）做企业数据存储。雅虎简介写Purity软件、FlashArray、FlashBlade、Portworx和Evergreen订阅。Blockonomi写该公司此前以Pure Storage运营，这里只转述该来源，不把它写成另一套财务数据。FY2026收入3662.8百万美元，毛利2578.0，GAAP经营溢利114.8，净利润188.2，经营现金流880.1。期末普通股326.1百万股。用9月24日收盘计算的市值用雅虎sharesOutstanding 333,227,251股，等于40613.7百万美元，与复盘约406亿美元一致。来源：雅虎财务报表；收盘复盘2026-09-25对9月24日收盘的记录。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65" t="inlineStr">
        <is>
          <t>周期位置是AI资本开支叙事里的存储股，但当日要闻的甲骨文不可抗力没有点名Everpure，国内云厂商和电力设备也没有被点名。要闻写明没有被点名的供应商不升格。复盘把9月24日美股指数写成几乎走平，道指跌0.31%至51349.98，这只股票是当天成交额最大的大涨股之一，不是指数行情。生物医药要闻里的礼来获批和复盘里的GRAIL投票是另一组股票，不并进Everpure的收入。单一同行的中位数待查，不造一个同行表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65" t="inlineStr">
        <is>
          <t>FY2023至FY2026收入 2753、2831、3168、3663。净利润 73、61、107、188。经营现金流 767、678、754、880。自由现金流 609、483、527、616。毛利率约0.70。近似ROIC 0.058。留存收益-1181，仍是累计亏损。截至2026-07-31的四个季度收入合计约4,262，摊薄每股盈利合计0.73，与雅虎trailingEps一致；这四个季度经营现金流里，最近一季为-136.3。可信度B：数字来自雅虎汇总的财务报表，不是逐页10-K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65" t="inlineStr">
        <is>
          <t>相对：TTM市盈率167.0（121.88/0.73）。FY2026自由现金流收益率0.015。市净率28.09，用市值除以FY2026股东权益。EV/EBITDA用市值加有息负债减现金及等价物，除以FY2026 EBITDA，得106.5。五年中位数待查。绝对：熊市TTM每股盈利0.73×25倍=18.25（概率0.25）；基准用FY2027非GAAP经营利润中枢950百万美元×（1-0.161）/340百万股=2.34，再×28倍=65.64（概率0.50）；牛市用FY2028非GAAP经营利润中枢1,800×（1-0.161）/345百万股=4.38，再×30倍=131.33（概率0.25）。概率合计1。概率加权70.21，相对现价-42.4%。税率、股数和倍数都是假设，非GAAP不是GAAP每股盈利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65" t="inlineStr">
        <is>
          <t>叙事一句：AI存储加上FY2028收入70至73亿美元，并且已经进了标普500。拥挤度在新闻和成交上是热，在20日涨幅上只有11.9%。市场已定价指数纳入和初步展望。我额外押的不是空头仓位，而是拒绝在121.88按这个倍数付钱。复盘写明70至73亿美元是2028财年展望，不是已实现收入；标普500纳入发生在9月21日。要闻的利率只解释倍数上限，不构成这只股票的新订单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65" t="inlineStr">
        <is>
          <t>事件：后续季报里的FY2027收入是否仍指向50.3至50.7亿美元。若单季收入按这个全年指引的路径走，只说明指引还在，不说明121.88合理。若下修，维持等待。公司新闻稿写美国上市时间在未来数月的是礼来的药，不是这只股票，不要串。下一份应核对的是存储业务自己的季报，日期待查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65" t="inlineStr">
        <is>
          <t>一年后失败的原因：第一，FY2028被证明只是初步非GAAP，收入到不了70亿，倍数从预支状态退回。第二，GAAP经营利润率停在低个位数，订阅故事没有变成报表利润。第三，经营现金流像最近一季那样转负并持续，现金质量不再支持「利润虽薄但现金很好」。监控是季度收入、GAAP经营溢利和经营现金流。攻击核心论点的是第一条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65" t="inlineStr">
        <is>
          <t>仓位上限1.09%。假设组合权益100万美元，单票风险预算0.005，证伪跌幅0.46。建议金额10870美元，约89股，这是上限不是买单。20日日均成交额772231078美元（2026-08-27至2026-09-24，中位数301318573）。建仓区间：现价不买。证伪：FY2027收入指引下沿跌破45亿美元，或非GAAP经营利润指引下沿跌破7亿美元。下次复盘：下一份季报。仅供研究备忘，不构成投资建议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2026-09-25T19:18:23Z</dcterms:modified>
  <cp:lastModifiedBy>张哥</cp:lastModifiedBy>
</cp:coreProperties>
</file>